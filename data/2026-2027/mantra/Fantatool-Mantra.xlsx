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Impostazioni" sheetId="2" state="visible" r:id="rId2"/>
    <sheet xmlns:r="http://schemas.openxmlformats.org/officeDocument/2006/relationships" name="Listone" sheetId="3" state="visible" r:id="rId3"/>
    <sheet xmlns:r="http://schemas.openxmlformats.org/officeDocument/2006/relationships" name="Motore" sheetId="4" state="visible" r:id="rId4"/>
    <sheet xmlns:r="http://schemas.openxmlformats.org/officeDocument/2006/relationships" name="Prezzi" sheetId="5" state="visible" r:id="rId5"/>
    <sheet xmlns:r="http://schemas.openxmlformats.org/officeDocument/2006/relationships" name="Asta Live" sheetId="6" state="visible" r:id="rId6"/>
    <sheet xmlns:r="http://schemas.openxmlformats.org/officeDocument/2006/relationships" name="Tabellone" sheetId="7" state="visible" r:id="rId7"/>
  </sheets>
  <definedNames>
    <definedName name="NomiGiocatori">Listone!$A$2:$A$532</definedName>
    <definedName name="Squadre">Impostazioni!$B$4:$B$11</definedName>
    <definedName name="ElencoFlag">Impostazioni!$D$23:$D$29</definedName>
    <definedName name="_xlnm._FilterDatabase" localSheetId="2" hidden="1">'Listone'!$A$1:$P$532</definedName>
    <definedName name="_xlnm._FilterDatabase" localSheetId="4" hidden="1">'Prezzi'!$A$1:$M$532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color rgb="00FFFFFF"/>
      <sz val="14"/>
    </font>
    <font>
      <name val="Arial"/>
      <color rgb="000000FF"/>
      <sz val="10"/>
    </font>
    <font>
      <name val="Arial"/>
      <b val="1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A1B3A"/>
      </patternFill>
    </fill>
    <fill>
      <patternFill patternType="solid">
        <fgColor rgb="00FFFF00"/>
      </patternFill>
    </fill>
    <fill>
      <patternFill patternType="solid">
        <fgColor rgb="00104BB3"/>
      </patternFill>
    </fill>
    <fill>
      <patternFill patternType="solid">
        <fgColor rgb="00D29E1E"/>
      </patternFill>
    </fill>
    <fill>
      <patternFill patternType="solid">
        <fgColor rgb="00F2F4F8"/>
      </patternFill>
    </fill>
    <fill>
      <patternFill patternType="solid">
        <fgColor rgb="003B8E53"/>
      </patternFill>
    </fill>
    <fill>
      <patternFill patternType="solid">
        <fgColor rgb="002B73B3"/>
      </patternFill>
    </fill>
    <fill>
      <patternFill patternType="solid">
        <fgColor rgb="00C5433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3" borderId="0" pivotButton="0" quotePrefix="0" xfId="0"/>
    <xf numFmtId="0" fontId="8" fillId="0" borderId="0" pivotButton="0" quotePrefix="0" xfId="0"/>
    <xf numFmtId="0" fontId="9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2" fillId="0" borderId="1" pivotButton="0" quotePrefix="0" xfId="0"/>
    <xf numFmtId="0" fontId="7" fillId="0" borderId="1" pivotButton="0" quotePrefix="0" xfId="0"/>
    <xf numFmtId="0" fontId="11" fillId="6" borderId="0" pivotButton="0" quotePrefix="0" xfId="0"/>
    <xf numFmtId="0" fontId="0" fillId="6" borderId="0" pivotButton="0" quotePrefix="0" xfId="0"/>
    <xf numFmtId="0" fontId="10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12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FANTATOOL — ASTA MANTRA 2026/27 (versione Excel)</t>
        </is>
      </c>
    </row>
    <row r="2">
      <c r="A2" s="2" t="inlineStr"/>
    </row>
    <row r="3">
      <c r="A3" s="2" t="inlineStr">
        <is>
          <t>Questo file replica le funzioni principali dell'app Fantatool per la lega Mantra.</t>
        </is>
      </c>
    </row>
    <row r="4">
      <c r="A4" s="2" t="inlineStr"/>
    </row>
    <row r="5">
      <c r="A5" s="2" t="inlineStr">
        <is>
          <t>FOGLI:</t>
        </is>
      </c>
    </row>
    <row r="6">
      <c r="A6" s="2" t="inlineStr">
        <is>
          <t xml:space="preserve">  • Impostazioni  — budget, n. squadre, limiti e quote per ruolo, NOMI DELLE 8 SQUADRE.</t>
        </is>
      </c>
    </row>
    <row r="7">
      <c r="A7" s="2" t="inlineStr">
        <is>
          <t xml:space="preserve">  • Listone       — tutti i 531 giocatori con quotazioni, PMA/PFC, fascia, titolarità.</t>
        </is>
      </c>
    </row>
    <row r="8">
      <c r="A8" s="2" t="inlineStr">
        <is>
          <t xml:space="preserve">  • Prezzi        — prezzo consigliato dal motore: 'iniziale' e 'ORA' (si aggiorna con l'asta).</t>
        </is>
      </c>
    </row>
    <row r="9">
      <c r="A9" s="2" t="inlineStr">
        <is>
          <t xml:space="preserve">  • Motore        — indici di inflazione per ruolo e globale, calcolati dagli acquisti.</t>
        </is>
      </c>
    </row>
    <row r="10">
      <c r="A10" s="2" t="inlineStr">
        <is>
          <t xml:space="preserve">  • Asta Live     — registra qui ogni acquisto: giocatore, squadra acquirente, prezzo.</t>
        </is>
      </c>
    </row>
    <row r="11">
      <c r="A11" s="2" t="inlineStr">
        <is>
          <t xml:space="preserve">  • Tabellone     — rose delle 8 squadre, budget speso/residuo, generato dagli acquisti.</t>
        </is>
      </c>
    </row>
    <row r="12">
      <c r="A12" s="2" t="inlineStr"/>
    </row>
    <row r="13">
      <c r="A13" s="2" t="inlineStr">
        <is>
          <t>CELLE DA COMPILARE = testo BLU su sfondo GIALLO:</t>
        </is>
      </c>
    </row>
    <row r="14">
      <c r="A14" s="2" t="inlineStr">
        <is>
          <t xml:space="preserve">  • Impostazioni!B2:B10  (budget, n. squadre, nomi squadre)</t>
        </is>
      </c>
    </row>
    <row r="15">
      <c r="A15" s="2" t="inlineStr">
        <is>
          <t xml:space="preserve">  • Asta Live: colonne Giocatore, Proprietario, Prezzo (menù a tendina dove disponibile).</t>
        </is>
      </c>
    </row>
    <row r="16">
      <c r="A16" s="2" t="inlineStr">
        <is>
          <t xml:space="preserve">  • Prezzi: colonna 'Flag' se vuoi forzare un flag diverso da quello suggerito.</t>
        </is>
      </c>
    </row>
    <row r="17">
      <c r="A17" s="2" t="inlineStr"/>
    </row>
    <row r="18">
      <c r="A18" s="2" t="inlineStr">
        <is>
          <t>COME FUNZIONA IL MOTORE PREZZI (fedele all'app, dati di inizio stagione):</t>
        </is>
      </c>
    </row>
    <row r="19">
      <c r="A19" s="2" t="inlineStr">
        <is>
          <t xml:space="preserve">  prezzo = TRONCA( base × (Budget/500) × inflazione_ruolo × mult_difesa × mult_flag )</t>
        </is>
      </c>
    </row>
    <row r="20">
      <c r="A20" s="2" t="inlineStr">
        <is>
          <t xml:space="preserve">  Tutti i giocatori hanno 0 presenze: il motore usa il ramo 'nuovo arrivo' su quotazione.</t>
        </is>
      </c>
    </row>
    <row r="21">
      <c r="A21" s="2" t="inlineStr">
        <is>
          <t xml:space="preserve">  base = quotazione × 2.0/1.9/1.6/2.4 (TOP) o × 1.1/1.15/1.0/1.35 (rotazione) o 1 (scommessa).</t>
        </is>
      </c>
    </row>
    <row r="22">
      <c r="A22" s="2" t="inlineStr">
        <is>
          <t xml:space="preserve">  SEMPLIFICAZIONE: il malus 'doppioni stesso club' dell'app qui è fissato a 1.0.</t>
        </is>
      </c>
    </row>
    <row r="23">
      <c r="A23" s="2" t="inlineStr"/>
    </row>
    <row r="24">
      <c r="A24" s="2" t="inlineStr">
        <is>
          <t>Ricalcolo: apri in Excel e premi F9 (o Cmd+=). Le tendine funzionano solo in Excel/LibreOffice.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2" customWidth="1" min="4" max="4"/>
    <col width="8" customWidth="1" min="5" max="5"/>
  </cols>
  <sheetData>
    <row r="1">
      <c r="A1" s="3" t="inlineStr">
        <is>
          <t>IMPOSTAZIONI ASTA</t>
        </is>
      </c>
    </row>
    <row r="2">
      <c r="A2" s="2" t="inlineStr">
        <is>
          <t>Budget per squadra</t>
        </is>
      </c>
      <c r="B2" s="4" t="n">
        <v>500</v>
      </c>
    </row>
    <row r="3">
      <c r="A3" s="2" t="inlineStr">
        <is>
          <t>Numero squadre</t>
        </is>
      </c>
      <c r="B3" s="4" t="n">
        <v>8</v>
      </c>
    </row>
    <row r="4">
      <c r="A4" s="2" t="inlineStr">
        <is>
          <t>Squadra 1</t>
        </is>
      </c>
      <c r="B4" s="4" t="inlineStr">
        <is>
          <t>Squadra 1</t>
        </is>
      </c>
    </row>
    <row r="5">
      <c r="A5" s="2" t="inlineStr">
        <is>
          <t>Squadra 2</t>
        </is>
      </c>
      <c r="B5" s="4" t="inlineStr">
        <is>
          <t>Squadra 2</t>
        </is>
      </c>
    </row>
    <row r="6">
      <c r="A6" s="2" t="inlineStr">
        <is>
          <t>Squadra 3</t>
        </is>
      </c>
      <c r="B6" s="4" t="inlineStr">
        <is>
          <t>Squadra 3</t>
        </is>
      </c>
    </row>
    <row r="7">
      <c r="A7" s="2" t="inlineStr">
        <is>
          <t>Squadra 4</t>
        </is>
      </c>
      <c r="B7" s="4" t="inlineStr">
        <is>
          <t>Squadra 4</t>
        </is>
      </c>
    </row>
    <row r="8">
      <c r="A8" s="2" t="inlineStr">
        <is>
          <t>Squadra 5</t>
        </is>
      </c>
      <c r="B8" s="4" t="inlineStr">
        <is>
          <t>Squadra 5</t>
        </is>
      </c>
    </row>
    <row r="9">
      <c r="A9" s="2" t="inlineStr">
        <is>
          <t>Squadra 6</t>
        </is>
      </c>
      <c r="B9" s="4" t="inlineStr">
        <is>
          <t>Squadra 6</t>
        </is>
      </c>
    </row>
    <row r="10">
      <c r="A10" s="2" t="inlineStr">
        <is>
          <t>Squadra 7</t>
        </is>
      </c>
      <c r="B10" s="4" t="inlineStr">
        <is>
          <t>Squadra 7</t>
        </is>
      </c>
    </row>
    <row r="11">
      <c r="A11" s="2" t="inlineStr">
        <is>
          <t>Squadra 8</t>
        </is>
      </c>
      <c r="B11" s="4" t="inlineStr">
        <is>
          <t>Squadra 8</t>
        </is>
      </c>
    </row>
    <row r="13">
      <c r="A13" s="5" t="inlineStr">
        <is>
          <t>Limiti e quote per ruolo</t>
        </is>
      </c>
    </row>
    <row r="14">
      <c r="A14" s="6" t="inlineStr">
        <is>
          <t>Ruolo</t>
        </is>
      </c>
      <c r="B14" s="6" t="inlineStr">
        <is>
          <t>Slot</t>
        </is>
      </c>
      <c r="C14" s="6" t="inlineStr">
        <is>
          <t>Quota % budget</t>
        </is>
      </c>
    </row>
    <row r="15">
      <c r="A15" s="2" t="inlineStr">
        <is>
          <t>P</t>
        </is>
      </c>
      <c r="B15" s="2" t="n">
        <v>3</v>
      </c>
      <c r="C15" s="2" t="n">
        <v>6</v>
      </c>
    </row>
    <row r="16">
      <c r="A16" s="2" t="inlineStr">
        <is>
          <t>D</t>
        </is>
      </c>
      <c r="B16" s="2" t="n">
        <v>11</v>
      </c>
      <c r="C16" s="2" t="n">
        <v>16</v>
      </c>
    </row>
    <row r="17">
      <c r="A17" s="2" t="inlineStr">
        <is>
          <t>C</t>
        </is>
      </c>
      <c r="B17" s="2" t="n">
        <v>8</v>
      </c>
      <c r="C17" s="2" t="n">
        <v>30</v>
      </c>
    </row>
    <row r="18">
      <c r="A18" s="2" t="inlineStr">
        <is>
          <t>A</t>
        </is>
      </c>
      <c r="B18" s="2" t="n">
        <v>8</v>
      </c>
      <c r="C18" s="2" t="n">
        <v>48</v>
      </c>
    </row>
    <row r="19">
      <c r="A19" s="2" t="inlineStr">
        <is>
          <t>TOT</t>
        </is>
      </c>
      <c r="B19" s="2">
        <f>SUM(B15:B18)</f>
        <v/>
      </c>
    </row>
    <row r="21">
      <c r="A21" s="5" t="inlineStr">
        <is>
          <t>Moltiplicatore difesa (rif.)</t>
        </is>
      </c>
      <c r="D21" s="5" t="inlineStr">
        <is>
          <t>Moltiplicatori flag</t>
        </is>
      </c>
    </row>
    <row r="22">
      <c r="A22" s="6" t="inlineStr">
        <is>
          <t>Club</t>
        </is>
      </c>
      <c r="B22" s="6" t="inlineStr">
        <is>
          <t>Mult</t>
        </is>
      </c>
      <c r="D22" s="6" t="inlineStr">
        <is>
          <t>Flag</t>
        </is>
      </c>
      <c r="E22" s="6" t="inlineStr">
        <is>
          <t>Mult</t>
        </is>
      </c>
    </row>
    <row r="23">
      <c r="A23" s="7" t="inlineStr">
        <is>
          <t>Como</t>
        </is>
      </c>
      <c r="B23" s="7" t="n">
        <v>1.19</v>
      </c>
      <c r="D23" s="7" t="inlineStr">
        <is>
          <t>Normale</t>
        </is>
      </c>
      <c r="E23" s="7" t="n">
        <v>1</v>
      </c>
    </row>
    <row r="24">
      <c r="A24" s="7" t="inlineStr">
        <is>
          <t>Inter</t>
        </is>
      </c>
      <c r="B24" s="7" t="n">
        <v>1.18</v>
      </c>
      <c r="D24" s="7" t="inlineStr">
        <is>
          <t>🟡 Ballottaggio</t>
        </is>
      </c>
      <c r="E24" s="7" t="n">
        <v>0.75</v>
      </c>
    </row>
    <row r="25">
      <c r="A25" s="7" t="inlineStr">
        <is>
          <t>Roma</t>
        </is>
      </c>
      <c r="B25" s="7" t="n">
        <v>1.16</v>
      </c>
      <c r="D25" s="7" t="inlineStr">
        <is>
          <t>🔴 Infortunato/Dubbio</t>
        </is>
      </c>
      <c r="E25" s="7" t="n">
        <v>0.5</v>
      </c>
    </row>
    <row r="26">
      <c r="A26" s="7" t="inlineStr">
        <is>
          <t>Juventus</t>
        </is>
      </c>
      <c r="B26" s="7" t="n">
        <v>1.12</v>
      </c>
      <c r="D26" s="7" t="inlineStr">
        <is>
          <t>🎯 Rigorista designato</t>
        </is>
      </c>
      <c r="E26" s="7" t="n">
        <v>1.15</v>
      </c>
    </row>
    <row r="27">
      <c r="A27" s="7" t="inlineStr">
        <is>
          <t>Napoli</t>
        </is>
      </c>
      <c r="B27" s="7" t="n">
        <v>1.11</v>
      </c>
      <c r="D27" s="7" t="inlineStr">
        <is>
          <t>🎯🟡 Rigorista in Ballottaggio</t>
        </is>
      </c>
      <c r="E27" s="7" t="n">
        <v>0.9</v>
      </c>
    </row>
    <row r="28">
      <c r="A28" s="7" t="inlineStr">
        <is>
          <t>Milan</t>
        </is>
      </c>
      <c r="B28" s="7" t="n">
        <v>1.09</v>
      </c>
      <c r="D28" s="7" t="inlineStr">
        <is>
          <t>📈 Nuovo titolare confermato</t>
        </is>
      </c>
      <c r="E28" s="7" t="n">
        <v>1.2</v>
      </c>
    </row>
    <row r="29">
      <c r="A29" s="7" t="inlineStr">
        <is>
          <t>Bologna</t>
        </is>
      </c>
      <c r="B29" s="7" t="n">
        <v>1.08</v>
      </c>
      <c r="D29" s="7" t="inlineStr">
        <is>
          <t>🪑 Riserva Fissa (da fasciaFc)</t>
        </is>
      </c>
      <c r="E29" s="7" t="n">
        <v>0.6</v>
      </c>
    </row>
    <row r="30">
      <c r="A30" s="7" t="inlineStr">
        <is>
          <t>Atalanta</t>
        </is>
      </c>
      <c r="B30" s="7" t="n">
        <v>1.05</v>
      </c>
    </row>
    <row r="31">
      <c r="A31" s="7" t="inlineStr">
        <is>
          <t>Venezia</t>
        </is>
      </c>
      <c r="B31" s="7" t="n">
        <v>0.85</v>
      </c>
    </row>
    <row r="32">
      <c r="A32" s="7" t="inlineStr">
        <is>
          <t>Frosinone</t>
        </is>
      </c>
      <c r="B32" s="7" t="n">
        <v>0.85</v>
      </c>
    </row>
    <row r="33">
      <c r="A33" s="7" t="inlineStr">
        <is>
          <t>Monza</t>
        </is>
      </c>
      <c r="B33" s="7" t="n">
        <v>0.85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12" customWidth="1" min="4" max="4"/>
    <col width="11" customWidth="1" min="5" max="5"/>
    <col width="8" customWidth="1" min="6" max="6"/>
    <col width="8" customWidth="1" min="7" max="7"/>
    <col width="8" customWidth="1" min="8" max="8"/>
    <col width="7" customWidth="1" min="9" max="9"/>
    <col width="12" customWidth="1" min="10" max="10"/>
    <col width="12" customWidth="1" min="11" max="11"/>
    <col width="13" customWidth="1" min="12" max="12"/>
    <col width="9" customWidth="1" min="13" max="13"/>
    <col width="8" customWidth="1" min="14" max="14"/>
    <col width="12" customWidth="1" min="15" max="15"/>
    <col width="26" customWidth="1" min="16" max="16"/>
  </cols>
  <sheetData>
    <row r="1">
      <c r="A1" s="6" t="inlineStr">
        <is>
          <t>Giocatore</t>
        </is>
      </c>
      <c r="B1" s="6" t="inlineStr">
        <is>
          <t>Squadra</t>
        </is>
      </c>
      <c r="C1" s="6" t="inlineStr">
        <is>
          <t>Ruolo</t>
        </is>
      </c>
      <c r="D1" s="6" t="inlineStr">
        <is>
          <t>Ruolo Mantra</t>
        </is>
      </c>
      <c r="E1" s="6" t="inlineStr">
        <is>
          <t>Quotazione</t>
        </is>
      </c>
      <c r="F1" s="6" t="inlineStr">
        <is>
          <t>FVM</t>
        </is>
      </c>
      <c r="G1" s="6" t="inlineStr">
        <is>
          <t>PMA</t>
        </is>
      </c>
      <c r="H1" s="6" t="inlineStr">
        <is>
          <t>PFC</t>
        </is>
      </c>
      <c r="I1" s="6" t="inlineStr">
        <is>
          <t>Slot</t>
        </is>
      </c>
      <c r="J1" s="6" t="inlineStr">
        <is>
          <t>Fascia</t>
        </is>
      </c>
      <c r="K1" s="6" t="inlineStr">
        <is>
          <t>Titolarità %</t>
        </is>
      </c>
      <c r="L1" s="6" t="inlineStr">
        <is>
          <t>Fantamedia att.</t>
        </is>
      </c>
      <c r="M1" s="6" t="inlineStr">
        <is>
          <t>Rigori %</t>
        </is>
      </c>
      <c r="N1" s="6" t="inlineStr">
        <is>
          <t>Status</t>
        </is>
      </c>
      <c r="O1" s="6" t="inlineStr">
        <is>
          <t>Prezzo atteso</t>
        </is>
      </c>
      <c r="P1" s="6" t="inlineStr">
        <is>
          <t>Flag suggerito</t>
        </is>
      </c>
    </row>
    <row r="2">
      <c r="A2" s="2" t="inlineStr">
        <is>
          <t>Svilar</t>
        </is>
      </c>
      <c r="B2" s="2" t="inlineStr">
        <is>
          <t>Roma</t>
        </is>
      </c>
      <c r="C2" s="2" t="inlineStr">
        <is>
          <t>P</t>
        </is>
      </c>
      <c r="D2" s="2" t="inlineStr">
        <is>
          <t>Por</t>
        </is>
      </c>
      <c r="E2" s="2" t="n">
        <v>19</v>
      </c>
      <c r="F2" s="2" t="n">
        <v>85</v>
      </c>
      <c r="G2" s="2" t="n">
        <v>46.05</v>
      </c>
      <c r="H2" s="2" t="n">
        <v>36.6</v>
      </c>
      <c r="I2" s="2" t="n">
        <v>1</v>
      </c>
      <c r="J2" s="2" t="inlineStr">
        <is>
          <t>Top</t>
        </is>
      </c>
      <c r="K2" s="2" t="n">
        <v>91</v>
      </c>
      <c r="L2" s="2" t="n">
        <v>5.51</v>
      </c>
      <c r="M2" s="2" t="n">
        <v>0</v>
      </c>
      <c r="N2" s="2" t="inlineStr">
        <is>
          <t>T</t>
        </is>
      </c>
      <c r="O2" s="2" t="n">
        <v>47</v>
      </c>
      <c r="P2" s="2" t="inlineStr">
        <is>
          <t>Normale</t>
        </is>
      </c>
    </row>
    <row r="3">
      <c r="A3" s="2" t="inlineStr">
        <is>
          <t>Carnesecchi</t>
        </is>
      </c>
      <c r="B3" s="2" t="inlineStr">
        <is>
          <t>Atalanta</t>
        </is>
      </c>
      <c r="C3" s="2" t="inlineStr">
        <is>
          <t>P</t>
        </is>
      </c>
      <c r="D3" s="2" t="inlineStr">
        <is>
          <t>Por</t>
        </is>
      </c>
      <c r="E3" s="2" t="n">
        <v>17</v>
      </c>
      <c r="F3" s="2" t="n">
        <v>55</v>
      </c>
      <c r="G3" s="2" t="n">
        <v>31.85</v>
      </c>
      <c r="H3" s="2" t="n">
        <v>32.55</v>
      </c>
      <c r="I3" s="2" t="n">
        <v>1</v>
      </c>
      <c r="J3" s="2" t="inlineStr">
        <is>
          <t>Top</t>
        </is>
      </c>
      <c r="K3" s="2" t="n">
        <v>91</v>
      </c>
      <c r="L3" s="2" t="n">
        <v>5.46</v>
      </c>
      <c r="M3" s="2" t="n">
        <v>0</v>
      </c>
      <c r="N3" s="2" t="inlineStr">
        <is>
          <t>T</t>
        </is>
      </c>
      <c r="O3" s="2" t="n">
        <v>34</v>
      </c>
      <c r="P3" s="2" t="inlineStr">
        <is>
          <t>Normale</t>
        </is>
      </c>
    </row>
    <row r="4">
      <c r="A4" s="2" t="inlineStr">
        <is>
          <t>Martinez Jo.</t>
        </is>
      </c>
      <c r="B4" s="2" t="inlineStr">
        <is>
          <t>Inter</t>
        </is>
      </c>
      <c r="C4" s="2" t="inlineStr">
        <is>
          <t>P</t>
        </is>
      </c>
      <c r="D4" s="2" t="inlineStr">
        <is>
          <t>Por</t>
        </is>
      </c>
      <c r="E4" s="2" t="n">
        <v>17</v>
      </c>
      <c r="F4" s="2" t="n">
        <v>68</v>
      </c>
      <c r="G4" s="2" t="n">
        <v>37.95</v>
      </c>
      <c r="H4" s="2" t="n">
        <v>33.95</v>
      </c>
      <c r="I4" s="2" t="n">
        <v>1</v>
      </c>
      <c r="J4" s="2" t="inlineStr">
        <is>
          <t>Top</t>
        </is>
      </c>
      <c r="K4" s="2" t="n">
        <v>86</v>
      </c>
      <c r="L4" s="2" t="n">
        <v>5.53</v>
      </c>
      <c r="M4" s="2" t="n">
        <v>0</v>
      </c>
      <c r="N4" s="2" t="inlineStr">
        <is>
          <t>T</t>
        </is>
      </c>
      <c r="O4" s="2" t="n">
        <v>41</v>
      </c>
      <c r="P4" s="2" t="inlineStr">
        <is>
          <t>Normale</t>
        </is>
      </c>
    </row>
    <row r="5">
      <c r="A5" s="2" t="inlineStr">
        <is>
          <t>Vicario</t>
        </is>
      </c>
      <c r="B5" s="2" t="inlineStr">
        <is>
          <t>Juventus</t>
        </is>
      </c>
      <c r="C5" s="2" t="inlineStr">
        <is>
          <t>P</t>
        </is>
      </c>
      <c r="D5" s="2" t="inlineStr">
        <is>
          <t>Por</t>
        </is>
      </c>
      <c r="E5" s="2" t="n">
        <v>17</v>
      </c>
      <c r="F5" s="2" t="n">
        <v>70</v>
      </c>
      <c r="G5" s="2" t="n">
        <v>39.25</v>
      </c>
      <c r="H5" s="2" t="n">
        <v>32.95</v>
      </c>
      <c r="I5" s="2" t="n">
        <v>1</v>
      </c>
      <c r="J5" s="2" t="inlineStr">
        <is>
          <t>Top</t>
        </is>
      </c>
      <c r="K5" s="2" t="n">
        <v>91</v>
      </c>
      <c r="L5" s="2" t="n">
        <v>5.47</v>
      </c>
      <c r="M5" s="2" t="n">
        <v>0</v>
      </c>
      <c r="N5" s="2" t="inlineStr">
        <is>
          <t>T</t>
        </is>
      </c>
      <c r="O5" s="2" t="n">
        <v>40</v>
      </c>
      <c r="P5" s="2" t="inlineStr">
        <is>
          <t>Normale</t>
        </is>
      </c>
    </row>
    <row r="6">
      <c r="A6" s="2" t="inlineStr">
        <is>
          <t>Butez</t>
        </is>
      </c>
      <c r="B6" s="2" t="inlineStr">
        <is>
          <t>Como</t>
        </is>
      </c>
      <c r="C6" s="2" t="inlineStr">
        <is>
          <t>P</t>
        </is>
      </c>
      <c r="D6" s="2" t="inlineStr">
        <is>
          <t>Por</t>
        </is>
      </c>
      <c r="E6" s="2" t="n">
        <v>15</v>
      </c>
      <c r="F6" s="2" t="n">
        <v>50</v>
      </c>
      <c r="G6" s="2" t="n">
        <v>25.65</v>
      </c>
      <c r="H6" s="2" t="n">
        <v>24.8</v>
      </c>
      <c r="I6" s="2" t="n">
        <v>1</v>
      </c>
      <c r="J6" s="2" t="inlineStr">
        <is>
          <t>Semi-Top</t>
        </is>
      </c>
      <c r="K6" s="2" t="n">
        <v>86</v>
      </c>
      <c r="L6" s="2" t="n">
        <v>5.43</v>
      </c>
      <c r="M6" s="2" t="n">
        <v>0</v>
      </c>
      <c r="N6" s="2" t="inlineStr">
        <is>
          <t>B</t>
        </is>
      </c>
      <c r="O6" s="2" t="n">
        <v>27</v>
      </c>
      <c r="P6" s="2" t="inlineStr">
        <is>
          <t>🟡 Ballottaggio</t>
        </is>
      </c>
    </row>
    <row r="7">
      <c r="A7" s="2" t="inlineStr">
        <is>
          <t>Maignan</t>
        </is>
      </c>
      <c r="B7" s="2" t="inlineStr">
        <is>
          <t>Milan</t>
        </is>
      </c>
      <c r="C7" s="2" t="inlineStr">
        <is>
          <t>P</t>
        </is>
      </c>
      <c r="D7" s="2" t="inlineStr">
        <is>
          <t>Por</t>
        </is>
      </c>
      <c r="E7" s="2" t="n">
        <v>15</v>
      </c>
      <c r="F7" s="2" t="n">
        <v>52</v>
      </c>
      <c r="G7" s="2" t="n">
        <v>34.45</v>
      </c>
      <c r="H7" s="2" t="n">
        <v>34.75</v>
      </c>
      <c r="I7" s="2" t="n">
        <v>1</v>
      </c>
      <c r="J7" s="2" t="inlineStr">
        <is>
          <t>Top</t>
        </is>
      </c>
      <c r="K7" s="2" t="n">
        <v>91</v>
      </c>
      <c r="L7" s="2" t="n">
        <v>5.5</v>
      </c>
      <c r="M7" s="2" t="n">
        <v>0</v>
      </c>
      <c r="N7" s="2" t="inlineStr">
        <is>
          <t>T</t>
        </is>
      </c>
      <c r="O7" s="2" t="n">
        <v>35</v>
      </c>
      <c r="P7" s="2" t="inlineStr">
        <is>
          <t>Normale</t>
        </is>
      </c>
    </row>
    <row r="8">
      <c r="A8" s="2" t="inlineStr">
        <is>
          <t>De Gea</t>
        </is>
      </c>
      <c r="B8" s="2" t="inlineStr">
        <is>
          <t>Fiorentina</t>
        </is>
      </c>
      <c r="C8" s="2" t="inlineStr">
        <is>
          <t>P</t>
        </is>
      </c>
      <c r="D8" s="2" t="inlineStr">
        <is>
          <t>Por</t>
        </is>
      </c>
      <c r="E8" s="2" t="n">
        <v>11</v>
      </c>
      <c r="F8" s="2" t="n">
        <v>30</v>
      </c>
      <c r="G8" s="2" t="n">
        <v>7.3</v>
      </c>
      <c r="H8" s="2" t="n">
        <v>13.55</v>
      </c>
      <c r="I8" s="2" t="n">
        <v>1</v>
      </c>
      <c r="J8" s="2" t="inlineStr">
        <is>
          <t>Semi-Top</t>
        </is>
      </c>
      <c r="K8" s="2" t="n">
        <v>91</v>
      </c>
      <c r="L8" s="2" t="n">
        <v>5.19</v>
      </c>
      <c r="M8" s="2" t="n">
        <v>0</v>
      </c>
      <c r="N8" s="2" t="inlineStr">
        <is>
          <t>T</t>
        </is>
      </c>
      <c r="O8" s="2" t="n">
        <v>6</v>
      </c>
      <c r="P8" s="2" t="inlineStr">
        <is>
          <t>Normale</t>
        </is>
      </c>
    </row>
    <row r="9">
      <c r="A9" s="2" t="inlineStr">
        <is>
          <t>Meret</t>
        </is>
      </c>
      <c r="B9" s="2" t="inlineStr">
        <is>
          <t>Napoli</t>
        </is>
      </c>
      <c r="C9" s="2" t="inlineStr">
        <is>
          <t>P</t>
        </is>
      </c>
      <c r="D9" s="2" t="inlineStr">
        <is>
          <t>Por</t>
        </is>
      </c>
      <c r="E9" s="2" t="n">
        <v>11</v>
      </c>
      <c r="F9" s="2" t="n">
        <v>48</v>
      </c>
      <c r="G9" s="2" t="n">
        <v>28.55</v>
      </c>
      <c r="H9" s="2" t="n">
        <v>31.2</v>
      </c>
      <c r="I9" s="2" t="n">
        <v>1</v>
      </c>
      <c r="J9" s="2" t="inlineStr">
        <is>
          <t>Semi-Top</t>
        </is>
      </c>
      <c r="K9" s="2" t="n">
        <v>86</v>
      </c>
      <c r="L9" s="2" t="n">
        <v>5.49</v>
      </c>
      <c r="M9" s="2" t="n">
        <v>0</v>
      </c>
      <c r="N9" s="2" t="inlineStr">
        <is>
          <t>T</t>
        </is>
      </c>
      <c r="O9" s="2" t="n">
        <v>29.5</v>
      </c>
      <c r="P9" s="2" t="inlineStr">
        <is>
          <t>Normale</t>
        </is>
      </c>
    </row>
    <row r="10">
      <c r="A10" s="2" t="inlineStr">
        <is>
          <t>Caprile</t>
        </is>
      </c>
      <c r="B10" s="2" t="inlineStr">
        <is>
          <t>Cagliari</t>
        </is>
      </c>
      <c r="C10" s="2" t="inlineStr">
        <is>
          <t>P</t>
        </is>
      </c>
      <c r="D10" s="2" t="inlineStr">
        <is>
          <t>Por</t>
        </is>
      </c>
      <c r="E10" s="2" t="n">
        <v>10</v>
      </c>
      <c r="F10" s="2" t="n">
        <v>25</v>
      </c>
      <c r="G10" s="2" t="n">
        <v>3.25</v>
      </c>
      <c r="H10" s="2" t="n">
        <v>0.5</v>
      </c>
      <c r="I10" s="2" t="n">
        <v>2</v>
      </c>
      <c r="J10" s="2" t="inlineStr">
        <is>
          <t>OttimoTit</t>
        </is>
      </c>
      <c r="K10" s="2" t="n">
        <v>91</v>
      </c>
      <c r="L10" s="2" t="n">
        <v>5.05</v>
      </c>
      <c r="M10" s="2" t="n">
        <v>0</v>
      </c>
      <c r="N10" s="2" t="inlineStr">
        <is>
          <t>T</t>
        </is>
      </c>
      <c r="O10" s="2" t="n">
        <v>2.5</v>
      </c>
      <c r="P10" s="2" t="inlineStr">
        <is>
          <t>Normale</t>
        </is>
      </c>
    </row>
    <row r="11">
      <c r="A11" s="2" t="inlineStr">
        <is>
          <t>Mandas</t>
        </is>
      </c>
      <c r="B11" s="2" t="inlineStr">
        <is>
          <t>Lazio</t>
        </is>
      </c>
      <c r="C11" s="2" t="inlineStr">
        <is>
          <t>P</t>
        </is>
      </c>
      <c r="D11" s="2" t="inlineStr">
        <is>
          <t>Por</t>
        </is>
      </c>
      <c r="E11" s="2" t="n">
        <v>10</v>
      </c>
      <c r="F11" s="2" t="n">
        <v>36</v>
      </c>
      <c r="G11" s="2" t="n">
        <v>10.5</v>
      </c>
      <c r="H11" s="2" t="n">
        <v>12.25</v>
      </c>
      <c r="I11" s="2" t="n">
        <v>2</v>
      </c>
      <c r="J11" s="2" t="inlineStr">
        <is>
          <t>Semi-Top</t>
        </is>
      </c>
      <c r="K11" s="2" t="n">
        <v>80</v>
      </c>
      <c r="L11" s="2" t="n">
        <v>5.31</v>
      </c>
      <c r="M11" s="2" t="n">
        <v>0</v>
      </c>
      <c r="N11" s="2" t="inlineStr">
        <is>
          <t>T</t>
        </is>
      </c>
      <c r="O11" s="2" t="n">
        <v>10</v>
      </c>
      <c r="P11" s="2" t="inlineStr">
        <is>
          <t>Normale</t>
        </is>
      </c>
    </row>
    <row r="12">
      <c r="A12" s="2" t="inlineStr">
        <is>
          <t>Skorupski</t>
        </is>
      </c>
      <c r="B12" s="2" t="inlineStr">
        <is>
          <t>Bologna</t>
        </is>
      </c>
      <c r="C12" s="2" t="inlineStr">
        <is>
          <t>P</t>
        </is>
      </c>
      <c r="D12" s="2" t="inlineStr">
        <is>
          <t>Por</t>
        </is>
      </c>
      <c r="E12" s="2" t="n">
        <v>10</v>
      </c>
      <c r="F12" s="2" t="n">
        <v>32</v>
      </c>
      <c r="G12" s="2" t="n">
        <v>3.9</v>
      </c>
      <c r="H12" s="2" t="n">
        <v>9</v>
      </c>
      <c r="I12" s="2" t="n">
        <v>2</v>
      </c>
      <c r="J12" s="2" t="inlineStr">
        <is>
          <t>OttimoTit</t>
        </is>
      </c>
      <c r="K12" s="2" t="n">
        <v>91</v>
      </c>
      <c r="L12" s="2" t="n">
        <v>5.13</v>
      </c>
      <c r="M12" s="2" t="n">
        <v>0</v>
      </c>
      <c r="N12" s="2" t="inlineStr">
        <is>
          <t>T</t>
        </is>
      </c>
      <c r="O12" s="2" t="n">
        <v>3</v>
      </c>
      <c r="P12" s="2" t="inlineStr">
        <is>
          <t>Normale</t>
        </is>
      </c>
    </row>
    <row r="13">
      <c r="A13" s="2" t="inlineStr">
        <is>
          <t>Okoye</t>
        </is>
      </c>
      <c r="B13" s="2" t="inlineStr">
        <is>
          <t>Udinese</t>
        </is>
      </c>
      <c r="C13" s="2" t="inlineStr">
        <is>
          <t>P</t>
        </is>
      </c>
      <c r="D13" s="2" t="inlineStr">
        <is>
          <t>Por</t>
        </is>
      </c>
      <c r="E13" s="2" t="n">
        <v>9</v>
      </c>
      <c r="F13" s="2" t="n">
        <v>28</v>
      </c>
      <c r="G13" s="2" t="n">
        <v>5.65</v>
      </c>
      <c r="H13" s="2" t="n">
        <v>7.3</v>
      </c>
      <c r="I13" s="2" t="n">
        <v>2</v>
      </c>
      <c r="J13" s="2" t="inlineStr">
        <is>
          <t>OttimoTit</t>
        </is>
      </c>
      <c r="K13" s="2" t="n">
        <v>91</v>
      </c>
      <c r="L13" s="2" t="n">
        <v>5.11</v>
      </c>
      <c r="M13" s="2" t="n">
        <v>0</v>
      </c>
      <c r="N13" s="2" t="inlineStr">
        <is>
          <t>T</t>
        </is>
      </c>
      <c r="O13" s="2" t="n">
        <v>5</v>
      </c>
      <c r="P13" s="2" t="inlineStr">
        <is>
          <t>Normale</t>
        </is>
      </c>
    </row>
    <row r="14">
      <c r="A14" s="2" t="inlineStr">
        <is>
          <t>Perri</t>
        </is>
      </c>
      <c r="B14" s="2" t="inlineStr">
        <is>
          <t>Torino</t>
        </is>
      </c>
      <c r="C14" s="2" t="inlineStr">
        <is>
          <t>P</t>
        </is>
      </c>
      <c r="D14" s="2" t="inlineStr">
        <is>
          <t>Por</t>
        </is>
      </c>
      <c r="E14" s="2" t="n">
        <v>9</v>
      </c>
      <c r="F14" s="2" t="n">
        <v>26</v>
      </c>
      <c r="G14" s="2" t="n">
        <v>1.3</v>
      </c>
      <c r="H14" s="2" t="n">
        <v>2.05</v>
      </c>
      <c r="I14" s="2" t="n">
        <v>2</v>
      </c>
      <c r="J14" s="2" t="inlineStr">
        <is>
          <t>OttimoTit</t>
        </is>
      </c>
      <c r="K14" s="2" t="n">
        <v>91</v>
      </c>
      <c r="L14" s="2" t="n">
        <v>5.07</v>
      </c>
      <c r="M14" s="2" t="n">
        <v>0</v>
      </c>
      <c r="N14" s="2" t="inlineStr">
        <is>
          <t>T</t>
        </is>
      </c>
      <c r="O14" s="2" t="n">
        <v>1</v>
      </c>
      <c r="P14" s="2" t="inlineStr">
        <is>
          <t>Normale</t>
        </is>
      </c>
    </row>
    <row r="15">
      <c r="A15" s="2" t="inlineStr">
        <is>
          <t>Bijlow</t>
        </is>
      </c>
      <c r="B15" s="2" t="inlineStr">
        <is>
          <t>Genoa</t>
        </is>
      </c>
      <c r="C15" s="2" t="inlineStr">
        <is>
          <t>P</t>
        </is>
      </c>
      <c r="D15" s="2" t="inlineStr">
        <is>
          <t>Por</t>
        </is>
      </c>
      <c r="E15" s="2" t="n">
        <v>8</v>
      </c>
      <c r="F15" s="2" t="n">
        <v>15</v>
      </c>
      <c r="G15" s="2" t="n">
        <v>1.7</v>
      </c>
      <c r="H15" s="2" t="n">
        <v>5.5</v>
      </c>
      <c r="I15" s="2" t="n">
        <v>2</v>
      </c>
      <c r="J15" s="2" t="inlineStr">
        <is>
          <t>OttimoTit</t>
        </is>
      </c>
      <c r="K15" s="2" t="n">
        <v>91</v>
      </c>
      <c r="L15" s="2" t="n">
        <v>5.09</v>
      </c>
      <c r="M15" s="2" t="n">
        <v>0</v>
      </c>
      <c r="N15" s="2" t="inlineStr">
        <is>
          <t>T</t>
        </is>
      </c>
      <c r="O15" s="2" t="n">
        <v>1</v>
      </c>
      <c r="P15" s="2" t="inlineStr">
        <is>
          <t>Normale</t>
        </is>
      </c>
    </row>
    <row r="16">
      <c r="A16" s="2" t="inlineStr">
        <is>
          <t>Falcone</t>
        </is>
      </c>
      <c r="B16" s="2" t="inlineStr">
        <is>
          <t>Lecce</t>
        </is>
      </c>
      <c r="C16" s="2" t="inlineStr">
        <is>
          <t>P</t>
        </is>
      </c>
      <c r="D16" s="2" t="inlineStr">
        <is>
          <t>Por</t>
        </is>
      </c>
      <c r="E16" s="2" t="n">
        <v>8</v>
      </c>
      <c r="F16" s="2" t="n">
        <v>26</v>
      </c>
      <c r="G16" s="2" t="n">
        <v>2.6</v>
      </c>
      <c r="H16" s="2" t="n">
        <v>3.1</v>
      </c>
      <c r="I16" s="2" t="n">
        <v>2</v>
      </c>
      <c r="J16" s="2" t="inlineStr">
        <is>
          <t>OttimoTit</t>
        </is>
      </c>
      <c r="K16" s="2" t="n">
        <v>91</v>
      </c>
      <c r="L16" s="2" t="n">
        <v>5.07</v>
      </c>
      <c r="M16" s="2" t="n">
        <v>0</v>
      </c>
      <c r="N16" s="2" t="inlineStr">
        <is>
          <t>T</t>
        </is>
      </c>
      <c r="O16" s="2" t="n">
        <v>2</v>
      </c>
      <c r="P16" s="2" t="inlineStr">
        <is>
          <t>Normale</t>
        </is>
      </c>
    </row>
    <row r="17">
      <c r="A17" s="2" t="inlineStr">
        <is>
          <t>Sanchez Ro.</t>
        </is>
      </c>
      <c r="B17" s="2" t="inlineStr">
        <is>
          <t>Como</t>
        </is>
      </c>
      <c r="C17" s="2" t="inlineStr">
        <is>
          <t>P</t>
        </is>
      </c>
      <c r="D17" s="2" t="inlineStr">
        <is>
          <t>Por</t>
        </is>
      </c>
      <c r="E17" s="2" t="n">
        <v>8</v>
      </c>
      <c r="F17" s="2" t="n">
        <v>25</v>
      </c>
      <c r="G17" s="2" t="n">
        <v>1.8</v>
      </c>
      <c r="H17" s="2" t="n">
        <v>0.5</v>
      </c>
      <c r="I17" s="2" t="n">
        <v>3</v>
      </c>
      <c r="J17" s="2" t="inlineStr">
        <is>
          <t>TitLowCost</t>
        </is>
      </c>
      <c r="K17" s="2" t="n">
        <v>82</v>
      </c>
      <c r="L17" s="2" t="n">
        <v>5.14</v>
      </c>
      <c r="M17" s="2" t="n">
        <v>0</v>
      </c>
      <c r="N17" s="2" t="inlineStr">
        <is>
          <t>B</t>
        </is>
      </c>
      <c r="O17" s="2" t="n">
        <v>1</v>
      </c>
      <c r="P17" s="2" t="inlineStr">
        <is>
          <t>🟡 Ballottaggio</t>
        </is>
      </c>
    </row>
    <row r="18">
      <c r="A18" s="2" t="inlineStr">
        <is>
          <t>Muric</t>
        </is>
      </c>
      <c r="B18" s="2" t="inlineStr">
        <is>
          <t>Sassuolo</t>
        </is>
      </c>
      <c r="C18" s="2" t="inlineStr">
        <is>
          <t>P</t>
        </is>
      </c>
      <c r="D18" s="2" t="inlineStr">
        <is>
          <t>Por</t>
        </is>
      </c>
      <c r="E18" s="2" t="n">
        <v>7</v>
      </c>
      <c r="F18" s="2" t="n">
        <v>15</v>
      </c>
      <c r="G18" s="2" t="n">
        <v>1.4</v>
      </c>
      <c r="H18" s="2" t="n">
        <v>1.2</v>
      </c>
      <c r="I18" s="2" t="n">
        <v>2</v>
      </c>
      <c r="J18" s="2" t="inlineStr">
        <is>
          <t>OttimoTit</t>
        </is>
      </c>
      <c r="K18" s="2" t="n">
        <v>91</v>
      </c>
      <c r="L18" s="2" t="n">
        <v>5.06</v>
      </c>
      <c r="M18" s="2" t="n">
        <v>0</v>
      </c>
      <c r="N18" s="2" t="inlineStr">
        <is>
          <t>T</t>
        </is>
      </c>
      <c r="O18" s="2" t="n">
        <v>1</v>
      </c>
      <c r="P18" s="2" t="inlineStr">
        <is>
          <t>Normale</t>
        </is>
      </c>
    </row>
    <row r="19">
      <c r="A19" s="2" t="inlineStr">
        <is>
          <t>Daffara</t>
        </is>
      </c>
      <c r="B19" s="2" t="inlineStr">
        <is>
          <t>Parma</t>
        </is>
      </c>
      <c r="C19" s="2" t="inlineStr">
        <is>
          <t>P</t>
        </is>
      </c>
      <c r="D19" s="2" t="inlineStr">
        <is>
          <t>Por</t>
        </is>
      </c>
      <c r="E19" s="2" t="n">
        <v>6</v>
      </c>
      <c r="F19" s="2" t="n">
        <v>7</v>
      </c>
      <c r="G19" s="2" t="n">
        <v>1.05</v>
      </c>
      <c r="H19" s="2" t="n">
        <v>0.5</v>
      </c>
      <c r="I19" s="2" t="n">
        <v>3</v>
      </c>
      <c r="J19" s="2" t="inlineStr">
        <is>
          <t>Riserva</t>
        </is>
      </c>
      <c r="K19" s="2" t="n">
        <v>20</v>
      </c>
      <c r="L19" s="2" t="n">
        <v>4.69</v>
      </c>
      <c r="M19" s="2" t="n">
        <v>0</v>
      </c>
      <c r="N19" s="2" t="inlineStr">
        <is>
          <t>P</t>
        </is>
      </c>
      <c r="O19" s="2" t="n">
        <v>1</v>
      </c>
      <c r="P19" s="2" t="inlineStr">
        <is>
          <t>🟡 Ballottaggio</t>
        </is>
      </c>
    </row>
    <row r="20">
      <c r="A20" s="2" t="inlineStr">
        <is>
          <t>Stankovic F.</t>
        </is>
      </c>
      <c r="B20" s="2" t="inlineStr">
        <is>
          <t>Venezia</t>
        </is>
      </c>
      <c r="C20" s="2" t="inlineStr">
        <is>
          <t>P</t>
        </is>
      </c>
      <c r="D20" s="2" t="inlineStr">
        <is>
          <t>Por</t>
        </is>
      </c>
      <c r="E20" s="2" t="n">
        <v>6</v>
      </c>
      <c r="F20" s="2" t="n">
        <v>11</v>
      </c>
      <c r="G20" s="2" t="n">
        <v>1.1</v>
      </c>
      <c r="H20" s="2" t="n">
        <v>0.5</v>
      </c>
      <c r="I20" s="2" t="n">
        <v>3</v>
      </c>
      <c r="J20" s="2" t="inlineStr">
        <is>
          <t>TitLowCost</t>
        </is>
      </c>
      <c r="K20" s="2" t="n">
        <v>91</v>
      </c>
      <c r="L20" s="2" t="n">
        <v>4.96</v>
      </c>
      <c r="M20" s="2" t="n">
        <v>0</v>
      </c>
      <c r="N20" s="2" t="inlineStr">
        <is>
          <t>T</t>
        </is>
      </c>
      <c r="O20" s="2" t="n">
        <v>1</v>
      </c>
      <c r="P20" s="2" t="inlineStr">
        <is>
          <t>Normale</t>
        </is>
      </c>
    </row>
    <row r="21">
      <c r="A21" s="2" t="inlineStr">
        <is>
          <t>Milinkovic-Savic V.</t>
        </is>
      </c>
      <c r="B21" s="2" t="inlineStr">
        <is>
          <t>Napoli</t>
        </is>
      </c>
      <c r="C21" s="2" t="inlineStr">
        <is>
          <t>P</t>
        </is>
      </c>
      <c r="D21" s="2" t="inlineStr">
        <is>
          <t>Por</t>
        </is>
      </c>
      <c r="E21" s="2" t="n">
        <v>5</v>
      </c>
      <c r="F21" s="2" t="n">
        <v>5</v>
      </c>
      <c r="G21" s="2" t="n">
        <v>2.2</v>
      </c>
      <c r="H21" s="2" t="n">
        <v>0.5</v>
      </c>
      <c r="I21" s="2" t="n">
        <v>3</v>
      </c>
      <c r="J21" s="2" t="inlineStr">
        <is>
          <t>Riserva</t>
        </is>
      </c>
      <c r="K21" s="2" t="n">
        <v>20</v>
      </c>
      <c r="L21" s="2" t="n">
        <v>5.19</v>
      </c>
      <c r="M21" s="2" t="n">
        <v>0</v>
      </c>
      <c r="N21" s="2" t="inlineStr">
        <is>
          <t>P</t>
        </is>
      </c>
      <c r="O21" s="2" t="n">
        <v>1</v>
      </c>
      <c r="P21" s="2" t="inlineStr">
        <is>
          <t>🟡 Ballottaggio</t>
        </is>
      </c>
    </row>
    <row r="22">
      <c r="A22" s="2" t="inlineStr">
        <is>
          <t>Palmisani</t>
        </is>
      </c>
      <c r="B22" s="2" t="inlineStr">
        <is>
          <t>Frosinone</t>
        </is>
      </c>
      <c r="C22" s="2" t="inlineStr">
        <is>
          <t>P</t>
        </is>
      </c>
      <c r="D22" s="2" t="inlineStr">
        <is>
          <t>Por</t>
        </is>
      </c>
      <c r="E22" s="2" t="n">
        <v>5</v>
      </c>
      <c r="F22" s="2" t="n">
        <v>12</v>
      </c>
      <c r="G22" s="2" t="n">
        <v>0.95</v>
      </c>
      <c r="H22" s="2" t="n">
        <v>0.5</v>
      </c>
      <c r="I22" s="2" t="n">
        <v>3</v>
      </c>
      <c r="J22" s="2" t="inlineStr">
        <is>
          <t>TitLowCost</t>
        </is>
      </c>
      <c r="K22" s="2" t="n">
        <v>86</v>
      </c>
      <c r="L22" s="2" t="n">
        <v>4.72</v>
      </c>
      <c r="M22" s="2" t="n">
        <v>0</v>
      </c>
      <c r="N22" s="2" t="inlineStr">
        <is>
          <t>T</t>
        </is>
      </c>
      <c r="O22" s="2" t="n">
        <v>1</v>
      </c>
      <c r="P22" s="2" t="inlineStr">
        <is>
          <t>Normale</t>
        </is>
      </c>
    </row>
    <row r="23">
      <c r="A23" s="2" t="inlineStr">
        <is>
          <t>Thiam</t>
        </is>
      </c>
      <c r="B23" s="2" t="inlineStr">
        <is>
          <t>Monza</t>
        </is>
      </c>
      <c r="C23" s="2" t="inlineStr">
        <is>
          <t>P</t>
        </is>
      </c>
      <c r="D23" s="2" t="inlineStr">
        <is>
          <t>Por</t>
        </is>
      </c>
      <c r="E23" s="2" t="n">
        <v>4</v>
      </c>
      <c r="F23" s="2" t="n">
        <v>5</v>
      </c>
      <c r="G23" s="2" t="n">
        <v>0.9</v>
      </c>
      <c r="H23" s="2" t="n">
        <v>0.5</v>
      </c>
      <c r="I23" s="2" t="n">
        <v>3</v>
      </c>
      <c r="J23" s="2" t="inlineStr">
        <is>
          <t>TitLowCost</t>
        </is>
      </c>
      <c r="K23" s="2" t="n">
        <v>73</v>
      </c>
      <c r="L23" s="2" t="n">
        <v>4.26</v>
      </c>
      <c r="M23" s="2" t="n">
        <v>0</v>
      </c>
      <c r="N23" s="2" t="inlineStr">
        <is>
          <t>P</t>
        </is>
      </c>
      <c r="O23" s="2" t="n">
        <v>1</v>
      </c>
      <c r="P23" s="2" t="inlineStr">
        <is>
          <t>Normale</t>
        </is>
      </c>
    </row>
    <row r="24">
      <c r="A24" s="2" t="inlineStr">
        <is>
          <t>Corvi</t>
        </is>
      </c>
      <c r="B24" s="2" t="inlineStr">
        <is>
          <t>Parma</t>
        </is>
      </c>
      <c r="C24" s="2" t="inlineStr">
        <is>
          <t>P</t>
        </is>
      </c>
      <c r="D24" s="2" t="inlineStr">
        <is>
          <t>Por</t>
        </is>
      </c>
      <c r="E24" s="2" t="n">
        <v>2</v>
      </c>
      <c r="F24" s="2" t="n">
        <v>10</v>
      </c>
      <c r="G24" s="2" t="n">
        <v>1.1</v>
      </c>
      <c r="H24" s="2" t="n">
        <v>0.5</v>
      </c>
      <c r="I24" s="2" t="n">
        <v>3</v>
      </c>
      <c r="J24" s="2" t="inlineStr">
        <is>
          <t>TitLowCost</t>
        </is>
      </c>
      <c r="K24" s="2" t="n">
        <v>90</v>
      </c>
      <c r="L24" s="2" t="n">
        <v>5.03</v>
      </c>
      <c r="M24" s="2" t="n">
        <v>0</v>
      </c>
      <c r="N24" s="2" t="inlineStr">
        <is>
          <t>T</t>
        </is>
      </c>
      <c r="O24" s="2" t="n">
        <v>1</v>
      </c>
      <c r="P24" s="2" t="inlineStr">
        <is>
          <t>Normale</t>
        </is>
      </c>
    </row>
    <row r="25">
      <c r="A25" s="2" t="inlineStr">
        <is>
          <t>Desplanches</t>
        </is>
      </c>
      <c r="B25" s="2" t="inlineStr">
        <is>
          <t>Frosinone</t>
        </is>
      </c>
      <c r="C25" s="2" t="inlineStr">
        <is>
          <t>P</t>
        </is>
      </c>
      <c r="D25" s="2" t="inlineStr">
        <is>
          <t>Por</t>
        </is>
      </c>
      <c r="E25" s="2" t="n">
        <v>2</v>
      </c>
      <c r="F25" s="2" t="n">
        <v>1</v>
      </c>
      <c r="G25" s="2" t="n">
        <v>0.7</v>
      </c>
      <c r="H25" s="2" t="n">
        <v>0.5</v>
      </c>
      <c r="I25" s="2" t="n">
        <v>3</v>
      </c>
      <c r="J25" s="2" t="inlineStr">
        <is>
          <t>Riserva</t>
        </is>
      </c>
      <c r="K25" s="2" t="n">
        <v>20</v>
      </c>
      <c r="L25" s="2" t="n">
        <v>4.42</v>
      </c>
      <c r="M25" s="2" t="n">
        <v>0</v>
      </c>
      <c r="N25" s="2" t="inlineStr">
        <is>
          <t>P</t>
        </is>
      </c>
      <c r="O25" s="2" t="n">
        <v>1</v>
      </c>
      <c r="P25" s="2" t="inlineStr">
        <is>
          <t>🟡 Ballottaggio</t>
        </is>
      </c>
    </row>
    <row r="26">
      <c r="A26" s="2" t="inlineStr">
        <is>
          <t>Provedel</t>
        </is>
      </c>
      <c r="B26" s="2" t="inlineStr">
        <is>
          <t>Inter</t>
        </is>
      </c>
      <c r="C26" s="2" t="inlineStr">
        <is>
          <t>P</t>
        </is>
      </c>
      <c r="D26" s="2" t="inlineStr">
        <is>
          <t>Por</t>
        </is>
      </c>
      <c r="E26" s="2" t="n">
        <v>2</v>
      </c>
      <c r="F26" s="2" t="n">
        <v>5</v>
      </c>
      <c r="G26" s="2" t="n">
        <v>2.25</v>
      </c>
      <c r="H26" s="2" t="n">
        <v>0.5</v>
      </c>
      <c r="I26" s="2" t="n">
        <v>3</v>
      </c>
      <c r="J26" s="2" t="inlineStr">
        <is>
          <t>TitLowCost</t>
        </is>
      </c>
      <c r="K26" s="2" t="n">
        <v>72</v>
      </c>
      <c r="L26" s="2" t="n">
        <v>5.23</v>
      </c>
      <c r="M26" s="2" t="n">
        <v>0</v>
      </c>
      <c r="N26" s="2" t="inlineStr">
        <is>
          <t>P</t>
        </is>
      </c>
      <c r="O26" s="2" t="n">
        <v>1.5</v>
      </c>
      <c r="P26" s="2" t="inlineStr">
        <is>
          <t>Normale</t>
        </is>
      </c>
    </row>
    <row r="27">
      <c r="A27" s="2" t="inlineStr">
        <is>
          <t>Bleve</t>
        </is>
      </c>
      <c r="B27" s="2" t="inlineStr">
        <is>
          <t>Lecce</t>
        </is>
      </c>
      <c r="C27" s="2" t="inlineStr">
        <is>
          <t>P</t>
        </is>
      </c>
      <c r="D27" s="2" t="inlineStr">
        <is>
          <t>Por</t>
        </is>
      </c>
      <c r="E27" s="2" t="n">
        <v>1</v>
      </c>
      <c r="F27" s="2" t="n">
        <v>1</v>
      </c>
      <c r="G27" s="2" t="n">
        <v>0.8</v>
      </c>
      <c r="H27" s="2" t="n">
        <v>0.5</v>
      </c>
      <c r="I27" s="2" t="n">
        <v>3</v>
      </c>
      <c r="J27" s="2" t="inlineStr">
        <is>
          <t>Riserva</t>
        </is>
      </c>
      <c r="K27" s="2" t="n">
        <v>10</v>
      </c>
      <c r="L27" s="2" t="n">
        <v>5</v>
      </c>
      <c r="M27" s="2" t="n">
        <v>0</v>
      </c>
      <c r="N27" s="2" t="inlineStr">
        <is>
          <t>p</t>
        </is>
      </c>
      <c r="O27" s="2" t="n">
        <v>0</v>
      </c>
      <c r="P27" s="2" t="inlineStr">
        <is>
          <t>🟡 Ballottaggio</t>
        </is>
      </c>
    </row>
    <row r="28">
      <c r="A28" s="2" t="inlineStr">
        <is>
          <t>Christensen O.</t>
        </is>
      </c>
      <c r="B28" s="2" t="inlineStr">
        <is>
          <t>Fiorentina</t>
        </is>
      </c>
      <c r="C28" s="2" t="inlineStr">
        <is>
          <t>P</t>
        </is>
      </c>
      <c r="D28" s="2" t="inlineStr">
        <is>
          <t>Por</t>
        </is>
      </c>
      <c r="E28" s="2" t="n">
        <v>1</v>
      </c>
      <c r="F28" s="2" t="n">
        <v>1</v>
      </c>
      <c r="G28" s="2" t="n">
        <v>0.85</v>
      </c>
      <c r="H28" s="2" t="n">
        <v>0.5</v>
      </c>
      <c r="I28" s="2" t="n">
        <v>3</v>
      </c>
      <c r="J28" s="2" t="inlineStr">
        <is>
          <t>Riserva</t>
        </is>
      </c>
      <c r="K28" s="2" t="n">
        <v>20</v>
      </c>
      <c r="L28" s="2" t="n">
        <v>4.94</v>
      </c>
      <c r="M28" s="2" t="n">
        <v>0</v>
      </c>
      <c r="N28" s="2" t="inlineStr">
        <is>
          <t>P</t>
        </is>
      </c>
      <c r="O28" s="2" t="n">
        <v>1</v>
      </c>
      <c r="P28" s="2" t="inlineStr">
        <is>
          <t>🟡 Ballottaggio</t>
        </is>
      </c>
    </row>
    <row r="29">
      <c r="A29" s="2" t="inlineStr">
        <is>
          <t>Contini</t>
        </is>
      </c>
      <c r="B29" s="2" t="inlineStr">
        <is>
          <t>Napoli</t>
        </is>
      </c>
      <c r="C29" s="2" t="inlineStr">
        <is>
          <t>P</t>
        </is>
      </c>
      <c r="D29" s="2" t="inlineStr">
        <is>
          <t>Por</t>
        </is>
      </c>
      <c r="E29" s="2" t="n">
        <v>1</v>
      </c>
      <c r="F29" s="2" t="n">
        <v>1</v>
      </c>
      <c r="G29" s="2" t="n">
        <v>0.8</v>
      </c>
      <c r="H29" s="2" t="n">
        <v>0.5</v>
      </c>
      <c r="I29" s="2" t="n">
        <v>3</v>
      </c>
      <c r="J29" s="2" t="inlineStr">
        <is>
          <t>Riserva</t>
        </is>
      </c>
      <c r="K29" s="2" t="n">
        <v>10</v>
      </c>
      <c r="L29" s="2" t="n">
        <v>5.34</v>
      </c>
      <c r="M29" s="2" t="n">
        <v>0</v>
      </c>
      <c r="N29" s="2" t="inlineStr">
        <is>
          <t>P</t>
        </is>
      </c>
      <c r="O29" s="2" t="n">
        <v>1</v>
      </c>
      <c r="P29" s="2" t="inlineStr">
        <is>
          <t>🟡 Ballottaggio</t>
        </is>
      </c>
    </row>
    <row r="30">
      <c r="A30" s="2" t="inlineStr">
        <is>
          <t>De Marzi</t>
        </is>
      </c>
      <c r="B30" s="2" t="inlineStr">
        <is>
          <t>Roma</t>
        </is>
      </c>
      <c r="C30" s="2" t="inlineStr">
        <is>
          <t>P</t>
        </is>
      </c>
      <c r="D30" s="2" t="inlineStr">
        <is>
          <t>Por</t>
        </is>
      </c>
      <c r="E30" s="2" t="n">
        <v>1</v>
      </c>
      <c r="F30" s="2" t="n">
        <v>1</v>
      </c>
      <c r="G30" s="2" t="n">
        <v>0.85</v>
      </c>
      <c r="H30" s="2" t="n">
        <v>0.5</v>
      </c>
      <c r="I30" s="2" t="n">
        <v>3</v>
      </c>
      <c r="J30" s="2" t="inlineStr">
        <is>
          <t>Riserva</t>
        </is>
      </c>
      <c r="K30" s="2" t="n">
        <v>10</v>
      </c>
      <c r="L30" s="2" t="n">
        <v>5.42</v>
      </c>
      <c r="M30" s="2" t="n">
        <v>0</v>
      </c>
      <c r="N30" s="2" t="inlineStr">
        <is>
          <t>P</t>
        </is>
      </c>
      <c r="O30" s="2" t="n">
        <v>1</v>
      </c>
      <c r="P30" s="2" t="inlineStr">
        <is>
          <t>🟡 Ballottaggio</t>
        </is>
      </c>
    </row>
    <row r="31">
      <c r="A31" s="2" t="inlineStr">
        <is>
          <t>Di Gennaro</t>
        </is>
      </c>
      <c r="B31" s="2" t="inlineStr">
        <is>
          <t>Inter</t>
        </is>
      </c>
      <c r="C31" s="2" t="inlineStr">
        <is>
          <t>P</t>
        </is>
      </c>
      <c r="D31" s="2" t="inlineStr">
        <is>
          <t>Por</t>
        </is>
      </c>
      <c r="E31" s="2" t="n">
        <v>1</v>
      </c>
      <c r="F31" s="2" t="n">
        <v>1</v>
      </c>
      <c r="G31" s="2" t="n">
        <v>0.85</v>
      </c>
      <c r="H31" s="2" t="n">
        <v>0.5</v>
      </c>
      <c r="I31" s="2" t="n">
        <v>3</v>
      </c>
      <c r="J31" s="2" t="inlineStr">
        <is>
          <t>Riserva</t>
        </is>
      </c>
      <c r="K31" s="2" t="n">
        <v>10</v>
      </c>
      <c r="L31" s="2" t="n">
        <v>4.38</v>
      </c>
      <c r="M31" s="2" t="n">
        <v>0</v>
      </c>
      <c r="N31" s="2" t="inlineStr">
        <is>
          <t>P</t>
        </is>
      </c>
      <c r="O31" s="2" t="n">
        <v>1</v>
      </c>
      <c r="P31" s="2" t="inlineStr">
        <is>
          <t>🟡 Ballottaggio</t>
        </is>
      </c>
    </row>
    <row r="32">
      <c r="A32" s="2" t="inlineStr">
        <is>
          <t>Ghidotti</t>
        </is>
      </c>
      <c r="B32" s="2" t="inlineStr">
        <is>
          <t>Parma</t>
        </is>
      </c>
      <c r="C32" s="2" t="inlineStr">
        <is>
          <t>P</t>
        </is>
      </c>
      <c r="D32" s="2" t="inlineStr">
        <is>
          <t>Por</t>
        </is>
      </c>
      <c r="E32" s="2" t="n">
        <v>1</v>
      </c>
      <c r="F32" s="2" t="n">
        <v>1</v>
      </c>
      <c r="G32" s="2" t="n">
        <v>0.8</v>
      </c>
      <c r="H32" s="2" t="n">
        <v>0.5</v>
      </c>
      <c r="I32" s="2" t="n">
        <v>3</v>
      </c>
      <c r="J32" s="2" t="inlineStr">
        <is>
          <t>Riserva</t>
        </is>
      </c>
      <c r="K32" s="2" t="n">
        <v>10</v>
      </c>
      <c r="L32" s="2" t="n">
        <v>4.88</v>
      </c>
      <c r="M32" s="2" t="n">
        <v>0</v>
      </c>
      <c r="N32" s="2" t="inlineStr">
        <is>
          <t>P</t>
        </is>
      </c>
      <c r="O32" s="2" t="n">
        <v>0</v>
      </c>
      <c r="P32" s="2" t="inlineStr">
        <is>
          <t>🟡 Ballottaggio</t>
        </is>
      </c>
    </row>
    <row r="33">
      <c r="A33" s="2" t="inlineStr">
        <is>
          <t>Gollini</t>
        </is>
      </c>
      <c r="B33" s="2" t="inlineStr">
        <is>
          <t>Roma</t>
        </is>
      </c>
      <c r="C33" s="2" t="inlineStr">
        <is>
          <t>P</t>
        </is>
      </c>
      <c r="D33" s="2" t="inlineStr">
        <is>
          <t>Por</t>
        </is>
      </c>
      <c r="E33" s="2" t="n">
        <v>1</v>
      </c>
      <c r="F33" s="2" t="n">
        <v>1</v>
      </c>
      <c r="G33" s="2" t="n">
        <v>0.9</v>
      </c>
      <c r="H33" s="2" t="n">
        <v>0.5</v>
      </c>
      <c r="I33" s="2" t="n">
        <v>3</v>
      </c>
      <c r="J33" s="2" t="inlineStr">
        <is>
          <t>Riserva</t>
        </is>
      </c>
      <c r="K33" s="2" t="n">
        <v>20</v>
      </c>
      <c r="L33" s="2" t="n">
        <v>5.13</v>
      </c>
      <c r="M33" s="2" t="n">
        <v>0</v>
      </c>
      <c r="N33" s="2" t="inlineStr">
        <is>
          <t>P</t>
        </is>
      </c>
      <c r="O33" s="2" t="n">
        <v>1</v>
      </c>
      <c r="P33" s="2" t="inlineStr">
        <is>
          <t>🟡 Ballottaggio</t>
        </is>
      </c>
    </row>
    <row r="34">
      <c r="A34" s="2" t="inlineStr">
        <is>
          <t>Grabara</t>
        </is>
      </c>
      <c r="B34" s="2" t="inlineStr">
        <is>
          <t>Juventus</t>
        </is>
      </c>
      <c r="C34" s="2" t="inlineStr">
        <is>
          <t>P</t>
        </is>
      </c>
      <c r="D34" s="2" t="inlineStr">
        <is>
          <t>Por</t>
        </is>
      </c>
      <c r="E34" s="2" t="n">
        <v>1</v>
      </c>
      <c r="F34" s="2" t="n">
        <v>1</v>
      </c>
      <c r="G34" s="2" t="n">
        <v>0.95</v>
      </c>
      <c r="H34" s="2" t="n">
        <v>0.5</v>
      </c>
      <c r="I34" s="2" t="n">
        <v>3</v>
      </c>
      <c r="J34" s="2" t="inlineStr">
        <is>
          <t>Riserva</t>
        </is>
      </c>
      <c r="K34" s="2" t="n">
        <v>20</v>
      </c>
      <c r="L34" s="2" t="n">
        <v>5</v>
      </c>
      <c r="M34" s="2" t="n">
        <v>0</v>
      </c>
      <c r="N34" s="2" t="inlineStr">
        <is>
          <t>P</t>
        </is>
      </c>
      <c r="O34" s="2" t="n">
        <v>1</v>
      </c>
      <c r="P34" s="2" t="inlineStr">
        <is>
          <t>🟡 Ballottaggio</t>
        </is>
      </c>
    </row>
    <row r="35">
      <c r="A35" s="2" t="inlineStr">
        <is>
          <t>Grandi</t>
        </is>
      </c>
      <c r="B35" s="2" t="inlineStr">
        <is>
          <t>Venezia</t>
        </is>
      </c>
      <c r="C35" s="2" t="inlineStr">
        <is>
          <t>P</t>
        </is>
      </c>
      <c r="D35" s="2" t="inlineStr">
        <is>
          <t>Por</t>
        </is>
      </c>
      <c r="E35" s="2" t="n">
        <v>1</v>
      </c>
      <c r="F35" s="2" t="n">
        <v>1</v>
      </c>
      <c r="G35" s="2" t="n">
        <v>0.5</v>
      </c>
      <c r="H35" s="2" t="n">
        <v>0.5</v>
      </c>
      <c r="I35" s="2" t="n">
        <v>3</v>
      </c>
      <c r="J35" s="2" t="inlineStr">
        <is>
          <t>Riserva</t>
        </is>
      </c>
      <c r="K35" s="2" t="n">
        <v>10</v>
      </c>
      <c r="L35" s="2" t="n">
        <v>4.84</v>
      </c>
      <c r="M35" s="2" t="n">
        <v>0</v>
      </c>
      <c r="N35" s="2" t="inlineStr">
        <is>
          <t>P</t>
        </is>
      </c>
      <c r="O35" s="2" t="n">
        <v>0</v>
      </c>
      <c r="P35" s="2" t="inlineStr">
        <is>
          <t>🟡 Ballottaggio</t>
        </is>
      </c>
    </row>
    <row r="36">
      <c r="A36" s="2" t="inlineStr">
        <is>
          <t>Happonen</t>
        </is>
      </c>
      <c r="B36" s="2" t="inlineStr">
        <is>
          <t>Bologna</t>
        </is>
      </c>
      <c r="C36" s="2" t="inlineStr">
        <is>
          <t>P</t>
        </is>
      </c>
      <c r="D36" s="2" t="inlineStr">
        <is>
          <t>Por</t>
        </is>
      </c>
      <c r="E36" s="2" t="n">
        <v>1</v>
      </c>
      <c r="F36" s="2" t="n">
        <v>1</v>
      </c>
      <c r="G36" s="2" t="n">
        <v>0.9</v>
      </c>
      <c r="H36" s="2" t="n">
        <v>0.5</v>
      </c>
      <c r="I36" s="2" t="n">
        <v>3</v>
      </c>
      <c r="J36" s="2" t="inlineStr">
        <is>
          <t>Riserva</t>
        </is>
      </c>
      <c r="K36" s="2" t="n">
        <v>10</v>
      </c>
      <c r="L36" s="2" t="n">
        <v>5</v>
      </c>
      <c r="M36" s="2" t="n">
        <v>0</v>
      </c>
      <c r="N36" s="2" t="inlineStr">
        <is>
          <t>P</t>
        </is>
      </c>
      <c r="O36" s="2" t="n">
        <v>0.5</v>
      </c>
      <c r="P36" s="2" t="inlineStr">
        <is>
          <t>🟡 Ballottaggio</t>
        </is>
      </c>
    </row>
    <row r="37">
      <c r="A37" s="2" t="inlineStr">
        <is>
          <t>Lezzerini</t>
        </is>
      </c>
      <c r="B37" s="2" t="inlineStr">
        <is>
          <t>Fiorentina</t>
        </is>
      </c>
      <c r="C37" s="2" t="inlineStr">
        <is>
          <t>P</t>
        </is>
      </c>
      <c r="D37" s="2" t="inlineStr">
        <is>
          <t>Por</t>
        </is>
      </c>
      <c r="E37" s="2" t="n">
        <v>1</v>
      </c>
      <c r="F37" s="2" t="n">
        <v>1</v>
      </c>
      <c r="G37" s="2" t="n">
        <v>0.9</v>
      </c>
      <c r="H37" s="2" t="n">
        <v>0.5</v>
      </c>
      <c r="I37" s="2" t="n">
        <v>3</v>
      </c>
      <c r="J37" s="2" t="inlineStr">
        <is>
          <t>Riserva</t>
        </is>
      </c>
      <c r="K37" s="2" t="n">
        <v>10</v>
      </c>
      <c r="L37" s="2" t="n">
        <v>5.12</v>
      </c>
      <c r="M37" s="2" t="n">
        <v>0</v>
      </c>
      <c r="N37" s="2" t="inlineStr">
        <is>
          <t>P</t>
        </is>
      </c>
      <c r="O37" s="2" t="n">
        <v>1</v>
      </c>
      <c r="P37" s="2" t="inlineStr">
        <is>
          <t>🟡 Ballottaggio</t>
        </is>
      </c>
    </row>
    <row r="38">
      <c r="A38" s="2" t="inlineStr">
        <is>
          <t>Lolic</t>
        </is>
      </c>
      <c r="B38" s="2" t="inlineStr">
        <is>
          <t>Frosinone</t>
        </is>
      </c>
      <c r="C38" s="2" t="inlineStr">
        <is>
          <t>P</t>
        </is>
      </c>
      <c r="D38" s="2" t="inlineStr">
        <is>
          <t>Por</t>
        </is>
      </c>
      <c r="E38" s="2" t="n">
        <v>1</v>
      </c>
      <c r="F38" s="2" t="n">
        <v>1</v>
      </c>
      <c r="G38" s="2" t="n">
        <v>0.5</v>
      </c>
      <c r="H38" s="2" t="n">
        <v>0.5</v>
      </c>
      <c r="I38" s="2" t="n">
        <v>3</v>
      </c>
      <c r="J38" s="2" t="inlineStr">
        <is>
          <t>Riserva</t>
        </is>
      </c>
      <c r="K38" s="2" t="n">
        <v>10</v>
      </c>
      <c r="L38" s="2" t="n">
        <v>5.08</v>
      </c>
      <c r="M38" s="2" t="n">
        <v>0</v>
      </c>
      <c r="N38" s="2" t="inlineStr">
        <is>
          <t>P</t>
        </is>
      </c>
      <c r="O38" s="2" t="n">
        <v>0</v>
      </c>
      <c r="P38" s="2" t="inlineStr">
        <is>
          <t>🟡 Ballottaggio</t>
        </is>
      </c>
    </row>
    <row r="39">
      <c r="A39" s="2" t="inlineStr">
        <is>
          <t>Mascardi</t>
        </is>
      </c>
      <c r="B39" s="2" t="inlineStr">
        <is>
          <t>Torino</t>
        </is>
      </c>
      <c r="C39" s="2" t="inlineStr">
        <is>
          <t>P</t>
        </is>
      </c>
      <c r="D39" s="2" t="inlineStr">
        <is>
          <t>Por</t>
        </is>
      </c>
      <c r="E39" s="2" t="n">
        <v>1</v>
      </c>
      <c r="F39" s="2" t="n">
        <v>5</v>
      </c>
      <c r="G39" s="2" t="n">
        <v>0.9</v>
      </c>
      <c r="H39" s="2" t="n">
        <v>0.5</v>
      </c>
      <c r="I39" s="2" t="n">
        <v>3</v>
      </c>
      <c r="J39" s="2" t="inlineStr">
        <is>
          <t>Riserva</t>
        </is>
      </c>
      <c r="K39" s="2" t="n">
        <v>20</v>
      </c>
      <c r="L39" s="2" t="n">
        <v>4.35</v>
      </c>
      <c r="M39" s="2" t="n">
        <v>0</v>
      </c>
      <c r="N39" s="2" t="inlineStr">
        <is>
          <t>P</t>
        </is>
      </c>
      <c r="O39" s="2" t="n">
        <v>1</v>
      </c>
      <c r="P39" s="2" t="inlineStr">
        <is>
          <t>🟡 Ballottaggio</t>
        </is>
      </c>
    </row>
    <row r="40">
      <c r="A40" s="2" t="inlineStr">
        <is>
          <t>Montipò</t>
        </is>
      </c>
      <c r="B40" s="2" t="inlineStr">
        <is>
          <t>Venezia</t>
        </is>
      </c>
      <c r="C40" s="2" t="inlineStr">
        <is>
          <t>P</t>
        </is>
      </c>
      <c r="D40" s="2" t="inlineStr">
        <is>
          <t>Por</t>
        </is>
      </c>
      <c r="E40" s="2" t="n">
        <v>1</v>
      </c>
      <c r="F40" s="2" t="n">
        <v>1</v>
      </c>
      <c r="G40" s="2" t="n">
        <v>0.9</v>
      </c>
      <c r="H40" s="2" t="n">
        <v>0.5</v>
      </c>
      <c r="I40" s="2" t="n">
        <v>3</v>
      </c>
      <c r="J40" s="2" t="inlineStr">
        <is>
          <t>Riserva</t>
        </is>
      </c>
      <c r="K40" s="2" t="n">
        <v>20</v>
      </c>
      <c r="L40" s="2" t="n">
        <v>4.13</v>
      </c>
      <c r="M40" s="2" t="n">
        <v>0</v>
      </c>
      <c r="N40" s="2" t="inlineStr">
        <is>
          <t>P</t>
        </is>
      </c>
      <c r="O40" s="2" t="n">
        <v>1</v>
      </c>
      <c r="P40" s="2" t="inlineStr">
        <is>
          <t>🟡 Ballottaggio</t>
        </is>
      </c>
    </row>
    <row r="41">
      <c r="A41" s="2" t="inlineStr">
        <is>
          <t>Motta</t>
        </is>
      </c>
      <c r="B41" s="2" t="inlineStr">
        <is>
          <t>Lazio</t>
        </is>
      </c>
      <c r="C41" s="2" t="inlineStr">
        <is>
          <t>P</t>
        </is>
      </c>
      <c r="D41" s="2" t="inlineStr">
        <is>
          <t>Por</t>
        </is>
      </c>
      <c r="E41" s="2" t="n">
        <v>1</v>
      </c>
      <c r="F41" s="2" t="n">
        <v>1</v>
      </c>
      <c r="G41" s="2" t="n">
        <v>0.85</v>
      </c>
      <c r="H41" s="2" t="n">
        <v>0.5</v>
      </c>
      <c r="I41" s="2" t="n">
        <v>3</v>
      </c>
      <c r="J41" s="2" t="inlineStr">
        <is>
          <t>Riserva</t>
        </is>
      </c>
      <c r="K41" s="2" t="n">
        <v>20</v>
      </c>
      <c r="L41" s="2" t="n">
        <v>4.8</v>
      </c>
      <c r="M41" s="2" t="n">
        <v>0</v>
      </c>
      <c r="N41" s="2" t="inlineStr">
        <is>
          <t>P</t>
        </is>
      </c>
      <c r="O41" s="2" t="n">
        <v>1</v>
      </c>
      <c r="P41" s="2" t="inlineStr">
        <is>
          <t>🟡 Ballottaggio</t>
        </is>
      </c>
    </row>
    <row r="42">
      <c r="A42" s="2" t="inlineStr">
        <is>
          <t>Mrozek</t>
        </is>
      </c>
      <c r="B42" s="2" t="inlineStr">
        <is>
          <t>Udinese</t>
        </is>
      </c>
      <c r="C42" s="2" t="inlineStr">
        <is>
          <t>P</t>
        </is>
      </c>
      <c r="D42" s="2" t="inlineStr">
        <is>
          <t>Por</t>
        </is>
      </c>
      <c r="E42" s="2" t="n">
        <v>1</v>
      </c>
      <c r="F42" s="2" t="n">
        <v>1</v>
      </c>
      <c r="G42" s="2" t="n">
        <v>0.85</v>
      </c>
      <c r="H42" s="2" t="n">
        <v>0.5</v>
      </c>
      <c r="I42" s="2" t="n">
        <v>3</v>
      </c>
      <c r="J42" s="2" t="inlineStr">
        <is>
          <t>Jolly</t>
        </is>
      </c>
      <c r="K42" s="2" t="n">
        <v>46</v>
      </c>
      <c r="L42" s="2" t="n">
        <v>5</v>
      </c>
      <c r="M42" s="2" t="n">
        <v>0</v>
      </c>
      <c r="N42" s="2" t="inlineStr">
        <is>
          <t>P</t>
        </is>
      </c>
      <c r="O42" s="2" t="n">
        <v>1</v>
      </c>
      <c r="P42" s="2" t="inlineStr">
        <is>
          <t>🟡 Ballottaggio</t>
        </is>
      </c>
    </row>
    <row r="43">
      <c r="A43" s="2" t="inlineStr">
        <is>
          <t>Padelli</t>
        </is>
      </c>
      <c r="B43" s="2" t="inlineStr">
        <is>
          <t>Udinese</t>
        </is>
      </c>
      <c r="C43" s="2" t="inlineStr">
        <is>
          <t>P</t>
        </is>
      </c>
      <c r="D43" s="2" t="inlineStr">
        <is>
          <t>Por</t>
        </is>
      </c>
      <c r="E43" s="2" t="n">
        <v>1</v>
      </c>
      <c r="F43" s="2" t="n">
        <v>1</v>
      </c>
      <c r="G43" s="2" t="n">
        <v>0.85</v>
      </c>
      <c r="H43" s="2" t="n">
        <v>0.5</v>
      </c>
      <c r="I43" s="2" t="n">
        <v>3</v>
      </c>
      <c r="J43" s="2" t="inlineStr">
        <is>
          <t>Riserva</t>
        </is>
      </c>
      <c r="K43" s="2" t="n">
        <v>20</v>
      </c>
      <c r="L43" s="2" t="n">
        <v>5.12</v>
      </c>
      <c r="M43" s="2" t="n">
        <v>0</v>
      </c>
      <c r="N43" s="2" t="inlineStr">
        <is>
          <t>P</t>
        </is>
      </c>
      <c r="O43" s="2" t="n">
        <v>1</v>
      </c>
      <c r="P43" s="2" t="inlineStr">
        <is>
          <t>🟡 Ballottaggio</t>
        </is>
      </c>
    </row>
    <row r="44">
      <c r="A44" s="2" t="inlineStr">
        <is>
          <t>Penev</t>
        </is>
      </c>
      <c r="B44" s="2" t="inlineStr">
        <is>
          <t>Lecce</t>
        </is>
      </c>
      <c r="C44" s="2" t="inlineStr">
        <is>
          <t>P</t>
        </is>
      </c>
      <c r="D44" s="2" t="inlineStr">
        <is>
          <t>Por</t>
        </is>
      </c>
      <c r="E44" s="2" t="n">
        <v>1</v>
      </c>
      <c r="F44" s="2" t="n">
        <v>1</v>
      </c>
      <c r="G44" s="2" t="n">
        <v>0.8</v>
      </c>
      <c r="H44" s="2" t="n">
        <v>0.5</v>
      </c>
      <c r="I44" s="2" t="n">
        <v>3</v>
      </c>
      <c r="J44" s="2" t="inlineStr">
        <is>
          <t>Riserva</t>
        </is>
      </c>
      <c r="K44" s="2" t="n">
        <v>20</v>
      </c>
      <c r="L44" s="2" t="n">
        <v>5</v>
      </c>
      <c r="M44" s="2" t="n">
        <v>0</v>
      </c>
      <c r="N44" s="2" t="inlineStr">
        <is>
          <t>P</t>
        </is>
      </c>
      <c r="O44" s="2" t="n">
        <v>1</v>
      </c>
      <c r="P44" s="2" t="inlineStr">
        <is>
          <t>🟡 Ballottaggio</t>
        </is>
      </c>
    </row>
    <row r="45">
      <c r="A45" s="2" t="inlineStr">
        <is>
          <t>Pessina Mas.</t>
        </is>
      </c>
      <c r="B45" s="2" t="inlineStr">
        <is>
          <t>Bologna</t>
        </is>
      </c>
      <c r="C45" s="2" t="inlineStr">
        <is>
          <t>P</t>
        </is>
      </c>
      <c r="D45" s="2" t="inlineStr">
        <is>
          <t>Por</t>
        </is>
      </c>
      <c r="E45" s="2" t="n">
        <v>1</v>
      </c>
      <c r="F45" s="2" t="n">
        <v>1</v>
      </c>
      <c r="G45" s="2" t="n">
        <v>0.8</v>
      </c>
      <c r="H45" s="2" t="n">
        <v>0.5</v>
      </c>
      <c r="I45" s="2" t="n">
        <v>3</v>
      </c>
      <c r="J45" s="2" t="inlineStr">
        <is>
          <t>Riserva</t>
        </is>
      </c>
      <c r="K45" s="2" t="n">
        <v>20</v>
      </c>
      <c r="L45" s="2" t="n">
        <v>5.05</v>
      </c>
      <c r="M45" s="2" t="n">
        <v>0</v>
      </c>
      <c r="N45" s="2" t="inlineStr">
        <is>
          <t>P</t>
        </is>
      </c>
      <c r="O45" s="2" t="n">
        <v>1</v>
      </c>
      <c r="P45" s="2" t="inlineStr">
        <is>
          <t>🟡 Ballottaggio</t>
        </is>
      </c>
    </row>
    <row r="46">
      <c r="A46" s="2" t="inlineStr">
        <is>
          <t>Piana</t>
        </is>
      </c>
      <c r="B46" s="2" t="inlineStr">
        <is>
          <t>Udinese</t>
        </is>
      </c>
      <c r="C46" s="2" t="inlineStr">
        <is>
          <t>P</t>
        </is>
      </c>
      <c r="D46" s="2" t="inlineStr">
        <is>
          <t>Por</t>
        </is>
      </c>
      <c r="E46" s="2" t="n">
        <v>1</v>
      </c>
      <c r="F46" s="2" t="n">
        <v>1</v>
      </c>
      <c r="G46" s="2" t="n">
        <v>0.75</v>
      </c>
      <c r="H46" s="2" t="n">
        <v>0.5</v>
      </c>
      <c r="I46" s="2" t="n">
        <v>3</v>
      </c>
      <c r="J46" s="2" t="inlineStr">
        <is>
          <t>Riserva</t>
        </is>
      </c>
      <c r="K46" s="2" t="n">
        <v>10</v>
      </c>
      <c r="L46" s="2" t="n">
        <v>5.28</v>
      </c>
      <c r="M46" s="2" t="n">
        <v>0</v>
      </c>
      <c r="N46" s="2" t="inlineStr">
        <is>
          <t>P</t>
        </is>
      </c>
      <c r="O46" s="2" t="n">
        <v>1</v>
      </c>
      <c r="P46" s="2" t="inlineStr">
        <is>
          <t>🟡 Ballottaggio</t>
        </is>
      </c>
    </row>
    <row r="47">
      <c r="A47" s="2" t="inlineStr">
        <is>
          <t>Pinsoglio</t>
        </is>
      </c>
      <c r="B47" s="2" t="inlineStr">
        <is>
          <t>Juventus</t>
        </is>
      </c>
      <c r="C47" s="2" t="inlineStr">
        <is>
          <t>P</t>
        </is>
      </c>
      <c r="D47" s="2" t="inlineStr">
        <is>
          <t>Por</t>
        </is>
      </c>
      <c r="E47" s="2" t="n">
        <v>1</v>
      </c>
      <c r="F47" s="2" t="n">
        <v>1</v>
      </c>
      <c r="G47" s="2" t="n">
        <v>0.85</v>
      </c>
      <c r="H47" s="2" t="n">
        <v>0.5</v>
      </c>
      <c r="I47" s="2" t="n">
        <v>3</v>
      </c>
      <c r="J47" s="2" t="inlineStr">
        <is>
          <t>Riserva</t>
        </is>
      </c>
      <c r="K47" s="2" t="n">
        <v>10</v>
      </c>
      <c r="L47" s="2" t="n">
        <v>5.42</v>
      </c>
      <c r="M47" s="2" t="n">
        <v>0</v>
      </c>
      <c r="N47" s="2" t="inlineStr">
        <is>
          <t>P</t>
        </is>
      </c>
      <c r="O47" s="2" t="n">
        <v>1</v>
      </c>
      <c r="P47" s="2" t="inlineStr">
        <is>
          <t>🟡 Ballottaggio</t>
        </is>
      </c>
    </row>
    <row r="48">
      <c r="A48" s="2" t="inlineStr">
        <is>
          <t>Pisseri</t>
        </is>
      </c>
      <c r="B48" s="2" t="inlineStr">
        <is>
          <t>Frosinone</t>
        </is>
      </c>
      <c r="C48" s="2" t="inlineStr">
        <is>
          <t>P</t>
        </is>
      </c>
      <c r="D48" s="2" t="inlineStr">
        <is>
          <t>Por</t>
        </is>
      </c>
      <c r="E48" s="2" t="n">
        <v>1</v>
      </c>
      <c r="F48" s="2" t="n">
        <v>1</v>
      </c>
      <c r="G48" s="2" t="n">
        <v>0.5</v>
      </c>
      <c r="H48" s="2" t="n">
        <v>0.5</v>
      </c>
      <c r="I48" s="2" t="n">
        <v>3</v>
      </c>
      <c r="J48" s="2" t="inlineStr">
        <is>
          <t>Jolly</t>
        </is>
      </c>
      <c r="K48" s="2" t="n">
        <v>45</v>
      </c>
      <c r="L48" s="2" t="n">
        <v>4.8</v>
      </c>
      <c r="M48" s="2" t="n">
        <v>0</v>
      </c>
      <c r="N48" s="2" t="inlineStr">
        <is>
          <t>P</t>
        </is>
      </c>
      <c r="O48" s="2" t="n">
        <v>0</v>
      </c>
      <c r="P48" s="2" t="inlineStr">
        <is>
          <t>🟡 Ballottaggio</t>
        </is>
      </c>
    </row>
    <row r="49">
      <c r="A49" s="2" t="inlineStr">
        <is>
          <t>Pompei</t>
        </is>
      </c>
      <c r="B49" s="2" t="inlineStr">
        <is>
          <t>Atalanta</t>
        </is>
      </c>
      <c r="C49" s="2" t="inlineStr">
        <is>
          <t>P</t>
        </is>
      </c>
      <c r="D49" s="2" t="inlineStr">
        <is>
          <t>Por</t>
        </is>
      </c>
      <c r="E49" s="2" t="n">
        <v>1</v>
      </c>
      <c r="F49" s="2" t="n">
        <v>1</v>
      </c>
      <c r="G49" s="2" t="n">
        <v>0.85</v>
      </c>
      <c r="H49" s="2" t="n">
        <v>0.5</v>
      </c>
      <c r="I49" s="2" t="n">
        <v>3</v>
      </c>
      <c r="J49" s="2" t="inlineStr">
        <is>
          <t>Riserva</t>
        </is>
      </c>
      <c r="K49" s="2" t="n">
        <v>10</v>
      </c>
      <c r="L49" s="2" t="n">
        <v>5</v>
      </c>
      <c r="M49" s="2" t="n">
        <v>0</v>
      </c>
      <c r="N49" s="2" t="inlineStr">
        <is>
          <t>P</t>
        </is>
      </c>
      <c r="O49" s="2" t="n">
        <v>1</v>
      </c>
      <c r="P49" s="2" t="inlineStr">
        <is>
          <t>🟡 Ballottaggio</t>
        </is>
      </c>
    </row>
    <row r="50">
      <c r="A50" s="2" t="inlineStr">
        <is>
          <t>Pozzi</t>
        </is>
      </c>
      <c r="B50" s="2" t="inlineStr">
        <is>
          <t>Venezia</t>
        </is>
      </c>
      <c r="C50" s="2" t="inlineStr">
        <is>
          <t>P</t>
        </is>
      </c>
      <c r="D50" s="2" t="inlineStr">
        <is>
          <t>Por</t>
        </is>
      </c>
      <c r="E50" s="2" t="n">
        <v>1</v>
      </c>
      <c r="F50" s="2" t="n">
        <v>1</v>
      </c>
      <c r="G50" s="2" t="n">
        <v>0.5</v>
      </c>
      <c r="H50" s="2" t="n">
        <v>0.5</v>
      </c>
      <c r="I50" s="2" t="n">
        <v>3</v>
      </c>
      <c r="J50" s="2" t="inlineStr">
        <is>
          <t>Riserva</t>
        </is>
      </c>
      <c r="K50" s="2" t="n">
        <v>37</v>
      </c>
      <c r="L50" s="2" t="n">
        <v>5.08</v>
      </c>
      <c r="M50" s="2" t="n">
        <v>0</v>
      </c>
      <c r="N50" s="2" t="inlineStr">
        <is>
          <t>P</t>
        </is>
      </c>
      <c r="O50" s="2" t="n">
        <v>0</v>
      </c>
      <c r="P50" s="2" t="inlineStr">
        <is>
          <t>🟡 Ballottaggio</t>
        </is>
      </c>
    </row>
    <row r="51">
      <c r="A51" s="2" t="inlineStr">
        <is>
          <t>Radunovic</t>
        </is>
      </c>
      <c r="B51" s="2" t="inlineStr">
        <is>
          <t>Cagliari</t>
        </is>
      </c>
      <c r="C51" s="2" t="inlineStr">
        <is>
          <t>P</t>
        </is>
      </c>
      <c r="D51" s="2" t="inlineStr">
        <is>
          <t>Por</t>
        </is>
      </c>
      <c r="E51" s="2" t="n">
        <v>1</v>
      </c>
      <c r="F51" s="2" t="n">
        <v>1</v>
      </c>
      <c r="G51" s="2" t="n">
        <v>0.85</v>
      </c>
      <c r="H51" s="2" t="n">
        <v>0.5</v>
      </c>
      <c r="I51" s="2" t="n">
        <v>3</v>
      </c>
      <c r="J51" s="2" t="inlineStr">
        <is>
          <t>Riserva</t>
        </is>
      </c>
      <c r="K51" s="2" t="n">
        <v>10</v>
      </c>
      <c r="L51" s="2" t="n">
        <v>5</v>
      </c>
      <c r="M51" s="2" t="n">
        <v>0</v>
      </c>
      <c r="N51" s="2" t="inlineStr">
        <is>
          <t>P</t>
        </is>
      </c>
      <c r="O51" s="2" t="n">
        <v>1</v>
      </c>
      <c r="P51" s="2" t="inlineStr">
        <is>
          <t>🟡 Ballottaggio</t>
        </is>
      </c>
    </row>
    <row r="52">
      <c r="A52" s="2" t="inlineStr">
        <is>
          <t>Renzetti</t>
        </is>
      </c>
      <c r="B52" s="2" t="inlineStr">
        <is>
          <t>Lazio</t>
        </is>
      </c>
      <c r="C52" s="2" t="inlineStr">
        <is>
          <t>P</t>
        </is>
      </c>
      <c r="D52" s="2" t="inlineStr">
        <is>
          <t>Por</t>
        </is>
      </c>
      <c r="E52" s="2" t="n">
        <v>1</v>
      </c>
      <c r="F52" s="2" t="n">
        <v>1</v>
      </c>
      <c r="G52" s="2" t="n">
        <v>0.8</v>
      </c>
      <c r="H52" s="2" t="n">
        <v>0.5</v>
      </c>
      <c r="I52" s="2" t="n">
        <v>3</v>
      </c>
      <c r="J52" s="2" t="inlineStr">
        <is>
          <t>Riserva</t>
        </is>
      </c>
      <c r="K52" s="2" t="n">
        <v>10</v>
      </c>
      <c r="L52" s="2" t="n">
        <v>5.39</v>
      </c>
      <c r="M52" s="2" t="n">
        <v>0</v>
      </c>
      <c r="N52" s="2" t="inlineStr">
        <is>
          <t>P</t>
        </is>
      </c>
      <c r="O52" s="2" t="n">
        <v>1</v>
      </c>
      <c r="P52" s="2" t="inlineStr">
        <is>
          <t>🟡 Ballottaggio</t>
        </is>
      </c>
    </row>
    <row r="53">
      <c r="A53" s="2" t="inlineStr">
        <is>
          <t>Russo A.</t>
        </is>
      </c>
      <c r="B53" s="2" t="inlineStr">
        <is>
          <t>Sassuolo</t>
        </is>
      </c>
      <c r="C53" s="2" t="inlineStr">
        <is>
          <t>P</t>
        </is>
      </c>
      <c r="D53" s="2" t="inlineStr">
        <is>
          <t>Por</t>
        </is>
      </c>
      <c r="E53" s="2" t="n">
        <v>1</v>
      </c>
      <c r="F53" s="2" t="n">
        <v>1</v>
      </c>
      <c r="G53" s="2" t="n">
        <v>0.6</v>
      </c>
      <c r="H53" s="2" t="n">
        <v>0.5</v>
      </c>
      <c r="I53" s="2" t="n">
        <v>3</v>
      </c>
      <c r="J53" s="2" t="inlineStr">
        <is>
          <t>Riserva</t>
        </is>
      </c>
      <c r="K53" s="2" t="n">
        <v>10</v>
      </c>
      <c r="L53" s="2" t="n">
        <v>4.5</v>
      </c>
      <c r="M53" s="2" t="n">
        <v>0</v>
      </c>
      <c r="N53" s="2" t="inlineStr">
        <is>
          <t>P</t>
        </is>
      </c>
      <c r="O53" s="2" t="n">
        <v>0</v>
      </c>
      <c r="P53" s="2" t="inlineStr">
        <is>
          <t>🟡 Ballottaggio</t>
        </is>
      </c>
    </row>
    <row r="54">
      <c r="A54" s="2" t="inlineStr">
        <is>
          <t>Satalino</t>
        </is>
      </c>
      <c r="B54" s="2" t="inlineStr">
        <is>
          <t>Sassuolo</t>
        </is>
      </c>
      <c r="C54" s="2" t="inlineStr">
        <is>
          <t>P</t>
        </is>
      </c>
      <c r="D54" s="2" t="inlineStr">
        <is>
          <t>Por</t>
        </is>
      </c>
      <c r="E54" s="2" t="n">
        <v>1</v>
      </c>
      <c r="F54" s="2" t="n">
        <v>1</v>
      </c>
      <c r="G54" s="2" t="n">
        <v>0.75</v>
      </c>
      <c r="H54" s="2" t="n">
        <v>0.5</v>
      </c>
      <c r="I54" s="2" t="n">
        <v>3</v>
      </c>
      <c r="J54" s="2" t="inlineStr">
        <is>
          <t>Jolly</t>
        </is>
      </c>
      <c r="K54" s="2" t="n">
        <v>45</v>
      </c>
      <c r="L54" s="2" t="n">
        <v>4.5</v>
      </c>
      <c r="M54" s="2" t="n">
        <v>0</v>
      </c>
      <c r="N54" s="2" t="inlineStr">
        <is>
          <t>P</t>
        </is>
      </c>
      <c r="O54" s="2" t="n">
        <v>0</v>
      </c>
      <c r="P54" s="2" t="inlineStr">
        <is>
          <t>🟡 Ballottaggio</t>
        </is>
      </c>
    </row>
    <row r="55">
      <c r="A55" s="2" t="inlineStr">
        <is>
          <t>Sherri</t>
        </is>
      </c>
      <c r="B55" s="2" t="inlineStr">
        <is>
          <t>Cagliari</t>
        </is>
      </c>
      <c r="C55" s="2" t="inlineStr">
        <is>
          <t>P</t>
        </is>
      </c>
      <c r="D55" s="2" t="inlineStr">
        <is>
          <t>Por</t>
        </is>
      </c>
      <c r="E55" s="2" t="n">
        <v>1</v>
      </c>
      <c r="F55" s="2" t="n">
        <v>1</v>
      </c>
      <c r="G55" s="2" t="n">
        <v>0.8</v>
      </c>
      <c r="H55" s="2" t="n">
        <v>0.5</v>
      </c>
      <c r="I55" s="2" t="n">
        <v>3</v>
      </c>
      <c r="J55" s="2" t="inlineStr">
        <is>
          <t>Riserva</t>
        </is>
      </c>
      <c r="K55" s="2" t="n">
        <v>20</v>
      </c>
      <c r="L55" s="2" t="n">
        <v>5.02</v>
      </c>
      <c r="M55" s="2" t="n">
        <v>0</v>
      </c>
      <c r="N55" s="2" t="inlineStr">
        <is>
          <t>P</t>
        </is>
      </c>
      <c r="O55" s="2" t="n">
        <v>1</v>
      </c>
      <c r="P55" s="2" t="inlineStr">
        <is>
          <t>🟡 Ballottaggio</t>
        </is>
      </c>
    </row>
    <row r="56">
      <c r="A56" s="2" t="inlineStr">
        <is>
          <t>Siviero</t>
        </is>
      </c>
      <c r="B56" s="2" t="inlineStr">
        <is>
          <t>Torino</t>
        </is>
      </c>
      <c r="C56" s="2" t="inlineStr">
        <is>
          <t>P</t>
        </is>
      </c>
      <c r="D56" s="2" t="inlineStr">
        <is>
          <t>Por</t>
        </is>
      </c>
      <c r="E56" s="2" t="n">
        <v>1</v>
      </c>
      <c r="F56" s="2" t="n">
        <v>1</v>
      </c>
      <c r="G56" s="2" t="n">
        <v>0.75</v>
      </c>
      <c r="H56" s="2" t="n">
        <v>0.5</v>
      </c>
      <c r="I56" s="2" t="n">
        <v>3</v>
      </c>
      <c r="J56" s="2" t="inlineStr">
        <is>
          <t>Riserva</t>
        </is>
      </c>
      <c r="K56" s="2" t="n">
        <v>37</v>
      </c>
      <c r="L56" s="2" t="n">
        <v>5.37</v>
      </c>
      <c r="M56" s="2" t="n">
        <v>0</v>
      </c>
      <c r="N56" s="2" t="inlineStr">
        <is>
          <t>P</t>
        </is>
      </c>
      <c r="O56" s="2" t="n">
        <v>0</v>
      </c>
      <c r="P56" s="2" t="inlineStr">
        <is>
          <t>🟡 Ballottaggio</t>
        </is>
      </c>
    </row>
    <row r="57">
      <c r="A57" s="2" t="inlineStr">
        <is>
          <t>Sommariva</t>
        </is>
      </c>
      <c r="B57" s="2" t="inlineStr">
        <is>
          <t>Genoa</t>
        </is>
      </c>
      <c r="C57" s="2" t="inlineStr">
        <is>
          <t>P</t>
        </is>
      </c>
      <c r="D57" s="2" t="inlineStr">
        <is>
          <t>Por</t>
        </is>
      </c>
      <c r="E57" s="2" t="n">
        <v>1</v>
      </c>
      <c r="F57" s="2" t="n">
        <v>1</v>
      </c>
      <c r="G57" s="2" t="n">
        <v>0.85</v>
      </c>
      <c r="H57" s="2" t="n">
        <v>0.5</v>
      </c>
      <c r="I57" s="2" t="n">
        <v>3</v>
      </c>
      <c r="J57" s="2" t="inlineStr">
        <is>
          <t>Riserva</t>
        </is>
      </c>
      <c r="K57" s="2" t="n">
        <v>10</v>
      </c>
      <c r="L57" s="2" t="n">
        <v>5.19</v>
      </c>
      <c r="M57" s="2" t="n">
        <v>0</v>
      </c>
      <c r="N57" s="2" t="inlineStr">
        <is>
          <t>P</t>
        </is>
      </c>
      <c r="O57" s="2" t="n">
        <v>0.5</v>
      </c>
      <c r="P57" s="2" t="inlineStr">
        <is>
          <t>🟡 Ballottaggio</t>
        </is>
      </c>
    </row>
    <row r="58">
      <c r="A58" s="2" t="inlineStr">
        <is>
          <t>Sportiello</t>
        </is>
      </c>
      <c r="B58" s="2" t="inlineStr">
        <is>
          <t>Atalanta</t>
        </is>
      </c>
      <c r="C58" s="2" t="inlineStr">
        <is>
          <t>P</t>
        </is>
      </c>
      <c r="D58" s="2" t="inlineStr">
        <is>
          <t>Por</t>
        </is>
      </c>
      <c r="E58" s="2" t="n">
        <v>1</v>
      </c>
      <c r="F58" s="2" t="n">
        <v>1</v>
      </c>
      <c r="G58" s="2" t="n">
        <v>0.85</v>
      </c>
      <c r="H58" s="2" t="n">
        <v>0.5</v>
      </c>
      <c r="I58" s="2" t="n">
        <v>3</v>
      </c>
      <c r="J58" s="2" t="inlineStr">
        <is>
          <t>Riserva</t>
        </is>
      </c>
      <c r="K58" s="2" t="n">
        <v>20</v>
      </c>
      <c r="L58" s="2" t="n">
        <v>5.13</v>
      </c>
      <c r="M58" s="2" t="n">
        <v>0</v>
      </c>
      <c r="N58" s="2" t="inlineStr">
        <is>
          <t>P</t>
        </is>
      </c>
      <c r="O58" s="2" t="n">
        <v>1</v>
      </c>
      <c r="P58" s="2" t="inlineStr">
        <is>
          <t>🟡 Ballottaggio</t>
        </is>
      </c>
    </row>
    <row r="59">
      <c r="A59" s="2" t="inlineStr">
        <is>
          <t>Stolz</t>
        </is>
      </c>
      <c r="B59" s="2" t="inlineStr">
        <is>
          <t>Genoa</t>
        </is>
      </c>
      <c r="C59" s="2" t="inlineStr">
        <is>
          <t>P</t>
        </is>
      </c>
      <c r="D59" s="2" t="inlineStr">
        <is>
          <t>Por</t>
        </is>
      </c>
      <c r="E59" s="2" t="n">
        <v>1</v>
      </c>
      <c r="F59" s="2" t="n">
        <v>1</v>
      </c>
      <c r="G59" s="2" t="n">
        <v>0.85</v>
      </c>
      <c r="H59" s="2" t="n">
        <v>0.5</v>
      </c>
      <c r="I59" s="2" t="n">
        <v>3</v>
      </c>
      <c r="J59" s="2" t="inlineStr">
        <is>
          <t>Riserva</t>
        </is>
      </c>
      <c r="K59" s="2" t="n">
        <v>20</v>
      </c>
      <c r="L59" s="2" t="n">
        <v>4.42</v>
      </c>
      <c r="M59" s="2" t="n">
        <v>0</v>
      </c>
      <c r="N59" s="2" t="inlineStr">
        <is>
          <t>P</t>
        </is>
      </c>
      <c r="O59" s="2" t="n">
        <v>1</v>
      </c>
      <c r="P59" s="2" t="inlineStr">
        <is>
          <t>🟡 Ballottaggio</t>
        </is>
      </c>
    </row>
    <row r="60">
      <c r="A60" s="2" t="inlineStr">
        <is>
          <t>Strajnar</t>
        </is>
      </c>
      <c r="B60" s="2" t="inlineStr">
        <is>
          <t>Monza</t>
        </is>
      </c>
      <c r="C60" s="2" t="inlineStr">
        <is>
          <t>P</t>
        </is>
      </c>
      <c r="D60" s="2" t="inlineStr">
        <is>
          <t>Por</t>
        </is>
      </c>
      <c r="E60" s="2" t="n">
        <v>1</v>
      </c>
      <c r="F60" s="2" t="n">
        <v>1</v>
      </c>
      <c r="G60" s="2" t="n">
        <v>0.5</v>
      </c>
      <c r="H60" s="2" t="n">
        <v>0.5</v>
      </c>
      <c r="I60" s="2" t="n">
        <v>3</v>
      </c>
      <c r="J60" s="2" t="inlineStr">
        <is>
          <t>Riserva</t>
        </is>
      </c>
      <c r="K60" s="2" t="n">
        <v>10</v>
      </c>
      <c r="L60" s="2" t="n">
        <v>4.88</v>
      </c>
      <c r="M60" s="2" t="n">
        <v>0</v>
      </c>
      <c r="N60" s="2" t="inlineStr">
        <is>
          <t>P</t>
        </is>
      </c>
      <c r="O60" s="2" t="n">
        <v>0</v>
      </c>
      <c r="P60" s="2" t="inlineStr">
        <is>
          <t>🟡 Ballottaggio</t>
        </is>
      </c>
    </row>
    <row r="61">
      <c r="A61" s="2" t="inlineStr">
        <is>
          <t>Terracciano</t>
        </is>
      </c>
      <c r="B61" s="2" t="inlineStr">
        <is>
          <t>Milan</t>
        </is>
      </c>
      <c r="C61" s="2" t="inlineStr">
        <is>
          <t>P</t>
        </is>
      </c>
      <c r="D61" s="2" t="inlineStr">
        <is>
          <t>Por</t>
        </is>
      </c>
      <c r="E61" s="2" t="n">
        <v>1</v>
      </c>
      <c r="F61" s="2" t="n">
        <v>1</v>
      </c>
      <c r="G61" s="2" t="n">
        <v>0.85</v>
      </c>
      <c r="H61" s="2" t="n">
        <v>0.5</v>
      </c>
      <c r="I61" s="2" t="n">
        <v>3</v>
      </c>
      <c r="J61" s="2" t="inlineStr">
        <is>
          <t>Riserva</t>
        </is>
      </c>
      <c r="K61" s="2" t="n">
        <v>10</v>
      </c>
      <c r="L61" s="2" t="n">
        <v>5.19</v>
      </c>
      <c r="M61" s="2" t="n">
        <v>0</v>
      </c>
      <c r="N61" s="2" t="inlineStr">
        <is>
          <t>P</t>
        </is>
      </c>
      <c r="O61" s="2" t="n">
        <v>1</v>
      </c>
      <c r="P61" s="2" t="inlineStr">
        <is>
          <t>🟡 Ballottaggio</t>
        </is>
      </c>
    </row>
    <row r="62">
      <c r="A62" s="2" t="inlineStr">
        <is>
          <t>Tornqvist</t>
        </is>
      </c>
      <c r="B62" s="2" t="inlineStr">
        <is>
          <t>Monza</t>
        </is>
      </c>
      <c r="C62" s="2" t="inlineStr">
        <is>
          <t>P</t>
        </is>
      </c>
      <c r="D62" s="2" t="inlineStr">
        <is>
          <t>Por</t>
        </is>
      </c>
      <c r="E62" s="2" t="n">
        <v>1</v>
      </c>
      <c r="F62" s="2" t="n">
        <v>10</v>
      </c>
      <c r="G62" s="2" t="n">
        <v>0.85</v>
      </c>
      <c r="H62" s="2" t="n">
        <v>0.5</v>
      </c>
      <c r="I62" s="2" t="n">
        <v>3</v>
      </c>
      <c r="J62" s="2" t="inlineStr">
        <is>
          <t>TitLowCost</t>
        </is>
      </c>
      <c r="K62" s="2" t="n">
        <v>89</v>
      </c>
      <c r="L62" s="2" t="n">
        <v>5.02</v>
      </c>
      <c r="M62" s="2" t="n">
        <v>0</v>
      </c>
      <c r="N62" s="2" t="inlineStr">
        <is>
          <t>T</t>
        </is>
      </c>
      <c r="O62" s="2" t="n">
        <v>1</v>
      </c>
      <c r="P62" s="2" t="inlineStr">
        <is>
          <t>Normale</t>
        </is>
      </c>
    </row>
    <row r="63">
      <c r="A63" s="2" t="inlineStr">
        <is>
          <t>Torriani</t>
        </is>
      </c>
      <c r="B63" s="2" t="inlineStr">
        <is>
          <t>Milan</t>
        </is>
      </c>
      <c r="C63" s="2" t="inlineStr">
        <is>
          <t>P</t>
        </is>
      </c>
      <c r="D63" s="2" t="inlineStr">
        <is>
          <t>Por</t>
        </is>
      </c>
      <c r="E63" s="2" t="n">
        <v>1</v>
      </c>
      <c r="F63" s="2" t="n">
        <v>1</v>
      </c>
      <c r="G63" s="2" t="n">
        <v>0.85</v>
      </c>
      <c r="H63" s="2" t="n">
        <v>0.5</v>
      </c>
      <c r="I63" s="2" t="n">
        <v>3</v>
      </c>
      <c r="J63" s="2" t="inlineStr">
        <is>
          <t>Riserva</t>
        </is>
      </c>
      <c r="K63" s="2" t="n">
        <v>20</v>
      </c>
      <c r="L63" s="2" t="n">
        <v>5.4</v>
      </c>
      <c r="M63" s="2" t="n">
        <v>0</v>
      </c>
      <c r="N63" s="2" t="inlineStr">
        <is>
          <t>P</t>
        </is>
      </c>
      <c r="O63" s="2" t="n">
        <v>1</v>
      </c>
      <c r="P63" s="2" t="inlineStr">
        <is>
          <t>🟡 Ballottaggio</t>
        </is>
      </c>
    </row>
    <row r="64">
      <c r="A64" s="2" t="inlineStr">
        <is>
          <t>Turati</t>
        </is>
      </c>
      <c r="B64" s="2" t="inlineStr">
        <is>
          <t>Sassuolo</t>
        </is>
      </c>
      <c r="C64" s="2" t="inlineStr">
        <is>
          <t>P</t>
        </is>
      </c>
      <c r="D64" s="2" t="inlineStr">
        <is>
          <t>Por</t>
        </is>
      </c>
      <c r="E64" s="2" t="n">
        <v>1</v>
      </c>
      <c r="F64" s="2" t="n">
        <v>1</v>
      </c>
      <c r="G64" s="2" t="n">
        <v>0.8</v>
      </c>
      <c r="H64" s="2" t="n">
        <v>0.5</v>
      </c>
      <c r="I64" s="2" t="n">
        <v>3</v>
      </c>
      <c r="J64" s="2" t="inlineStr">
        <is>
          <t>Riserva</t>
        </is>
      </c>
      <c r="K64" s="2" t="n">
        <v>20</v>
      </c>
      <c r="L64" s="2" t="n">
        <v>4.57</v>
      </c>
      <c r="M64" s="2" t="n">
        <v>0</v>
      </c>
      <c r="N64" s="2" t="inlineStr">
        <is>
          <t>P</t>
        </is>
      </c>
      <c r="O64" s="2" t="n">
        <v>1</v>
      </c>
      <c r="P64" s="2" t="inlineStr">
        <is>
          <t>🟡 Ballottaggio</t>
        </is>
      </c>
    </row>
    <row r="65">
      <c r="A65" s="2" t="inlineStr">
        <is>
          <t>Vigorito</t>
        </is>
      </c>
      <c r="B65" s="2" t="inlineStr">
        <is>
          <t>Como</t>
        </is>
      </c>
      <c r="C65" s="2" t="inlineStr">
        <is>
          <t>P</t>
        </is>
      </c>
      <c r="D65" s="2" t="inlineStr">
        <is>
          <t>Por</t>
        </is>
      </c>
      <c r="E65" s="2" t="n">
        <v>1</v>
      </c>
      <c r="F65" s="2" t="n">
        <v>1</v>
      </c>
      <c r="G65" s="2" t="n">
        <v>0.85</v>
      </c>
      <c r="H65" s="2" t="n">
        <v>0.5</v>
      </c>
      <c r="I65" s="2" t="n">
        <v>3</v>
      </c>
      <c r="J65" s="2" t="inlineStr">
        <is>
          <t>Riserva</t>
        </is>
      </c>
      <c r="K65" s="2" t="n">
        <v>10</v>
      </c>
      <c r="L65" s="2" t="n">
        <v>5.2</v>
      </c>
      <c r="M65" s="2" t="n">
        <v>0</v>
      </c>
      <c r="N65" s="2" t="inlineStr">
        <is>
          <t>P</t>
        </is>
      </c>
      <c r="O65" s="2" t="n">
        <v>1</v>
      </c>
      <c r="P65" s="2" t="inlineStr">
        <is>
          <t>🟡 Ballottaggio</t>
        </is>
      </c>
    </row>
    <row r="66">
      <c r="A66" s="2" t="inlineStr">
        <is>
          <t>Dimarco</t>
        </is>
      </c>
      <c r="B66" s="2" t="inlineStr">
        <is>
          <t>Inter</t>
        </is>
      </c>
      <c r="C66" s="2" t="inlineStr">
        <is>
          <t>D</t>
        </is>
      </c>
      <c r="D66" s="2" t="inlineStr">
        <is>
          <t>E/W</t>
        </is>
      </c>
      <c r="E66" s="2" t="n">
        <v>31</v>
      </c>
      <c r="F66" s="2" t="n">
        <v>240</v>
      </c>
      <c r="G66" s="2" t="n">
        <v>71</v>
      </c>
      <c r="H66" s="2" t="n">
        <v>52.7</v>
      </c>
      <c r="I66" s="2" t="n">
        <v>1</v>
      </c>
      <c r="J66" s="2" t="inlineStr">
        <is>
          <t>Top</t>
        </is>
      </c>
      <c r="K66" s="2" t="n">
        <v>92</v>
      </c>
      <c r="L66" s="2" t="n">
        <v>6.89</v>
      </c>
      <c r="M66" s="2" t="n">
        <v>0</v>
      </c>
      <c r="N66" s="2" t="inlineStr">
        <is>
          <t>T</t>
        </is>
      </c>
      <c r="O66" s="2" t="n">
        <v>71.5</v>
      </c>
      <c r="P66" s="2" t="inlineStr">
        <is>
          <t>Normale</t>
        </is>
      </c>
    </row>
    <row r="67">
      <c r="A67" s="2" t="inlineStr">
        <is>
          <t>Molina N.</t>
        </is>
      </c>
      <c r="B67" s="2" t="inlineStr">
        <is>
          <t>Roma</t>
        </is>
      </c>
      <c r="C67" s="2" t="inlineStr">
        <is>
          <t>D</t>
        </is>
      </c>
      <c r="D67" s="2" t="inlineStr">
        <is>
          <t>E</t>
        </is>
      </c>
      <c r="E67" s="2" t="n">
        <v>18</v>
      </c>
      <c r="F67" s="2" t="n">
        <v>78</v>
      </c>
      <c r="G67" s="2" t="n">
        <v>22.5</v>
      </c>
      <c r="H67" s="2" t="n">
        <v>20.8</v>
      </c>
      <c r="I67" s="2" t="n">
        <v>1</v>
      </c>
      <c r="J67" s="2" t="inlineStr">
        <is>
          <t>Semi-Top</t>
        </is>
      </c>
      <c r="K67" s="2" t="n">
        <v>90</v>
      </c>
      <c r="L67" s="2" t="n">
        <v>6.44</v>
      </c>
      <c r="M67" s="2" t="n">
        <v>0</v>
      </c>
      <c r="N67" s="2" t="inlineStr">
        <is>
          <t>T</t>
        </is>
      </c>
      <c r="O67" s="2" t="n">
        <v>21.5</v>
      </c>
      <c r="P67" s="2" t="inlineStr">
        <is>
          <t>Normale</t>
        </is>
      </c>
    </row>
    <row r="68">
      <c r="A68" s="2" t="inlineStr">
        <is>
          <t>Wesley</t>
        </is>
      </c>
      <c r="B68" s="2" t="inlineStr">
        <is>
          <t>Roma</t>
        </is>
      </c>
      <c r="C68" s="2" t="inlineStr">
        <is>
          <t>D</t>
        </is>
      </c>
      <c r="D68" s="2" t="inlineStr">
        <is>
          <t>E</t>
        </is>
      </c>
      <c r="E68" s="2" t="n">
        <v>18</v>
      </c>
      <c r="F68" s="2" t="n">
        <v>87</v>
      </c>
      <c r="G68" s="2" t="n">
        <v>36.9</v>
      </c>
      <c r="H68" s="2" t="n">
        <v>29.4</v>
      </c>
      <c r="I68" s="2" t="n">
        <v>1</v>
      </c>
      <c r="J68" s="2" t="inlineStr">
        <is>
          <t>Top</t>
        </is>
      </c>
      <c r="K68" s="2" t="n">
        <v>92</v>
      </c>
      <c r="L68" s="2" t="n">
        <v>6.53</v>
      </c>
      <c r="M68" s="2" t="n">
        <v>0</v>
      </c>
      <c r="N68" s="2" t="inlineStr">
        <is>
          <t>T</t>
        </is>
      </c>
      <c r="O68" s="2" t="n">
        <v>37.5</v>
      </c>
      <c r="P68" s="2" t="inlineStr">
        <is>
          <t>Normale</t>
        </is>
      </c>
    </row>
    <row r="69">
      <c r="A69" s="2" t="inlineStr">
        <is>
          <t>Bremer</t>
        </is>
      </c>
      <c r="B69" s="2" t="inlineStr">
        <is>
          <t>Juventus</t>
        </is>
      </c>
      <c r="C69" s="2" t="inlineStr">
        <is>
          <t>D</t>
        </is>
      </c>
      <c r="D69" s="2" t="inlineStr">
        <is>
          <t>Dc</t>
        </is>
      </c>
      <c r="E69" s="2" t="n">
        <v>16</v>
      </c>
      <c r="F69" s="2" t="n">
        <v>60</v>
      </c>
      <c r="G69" s="2" t="n">
        <v>28.85</v>
      </c>
      <c r="H69" s="2" t="n">
        <v>18.95</v>
      </c>
      <c r="I69" s="2" t="n">
        <v>1</v>
      </c>
      <c r="J69" s="2" t="inlineStr">
        <is>
          <t>Semi-Top</t>
        </is>
      </c>
      <c r="K69" s="2" t="n">
        <v>92</v>
      </c>
      <c r="L69" s="2" t="n">
        <v>6.39</v>
      </c>
      <c r="M69" s="2" t="n">
        <v>0</v>
      </c>
      <c r="N69" s="2" t="inlineStr">
        <is>
          <t>T</t>
        </is>
      </c>
      <c r="O69" s="2" t="n">
        <v>30</v>
      </c>
      <c r="P69" s="2" t="inlineStr">
        <is>
          <t>Normale</t>
        </is>
      </c>
    </row>
    <row r="70">
      <c r="A70" s="2" t="inlineStr">
        <is>
          <t>Mancini</t>
        </is>
      </c>
      <c r="B70" s="2" t="inlineStr">
        <is>
          <t>Roma</t>
        </is>
      </c>
      <c r="C70" s="2" t="inlineStr">
        <is>
          <t>D</t>
        </is>
      </c>
      <c r="D70" s="2" t="inlineStr">
        <is>
          <t>Dc</t>
        </is>
      </c>
      <c r="E70" s="2" t="n">
        <v>16</v>
      </c>
      <c r="F70" s="2" t="n">
        <v>50</v>
      </c>
      <c r="G70" s="2" t="n">
        <v>23.3</v>
      </c>
      <c r="H70" s="2" t="n">
        <v>20.75</v>
      </c>
      <c r="I70" s="2" t="n">
        <v>1</v>
      </c>
      <c r="J70" s="2" t="inlineStr">
        <is>
          <t>Semi-Top</t>
        </is>
      </c>
      <c r="K70" s="2" t="n">
        <v>92</v>
      </c>
      <c r="L70" s="2" t="n">
        <v>6.42</v>
      </c>
      <c r="M70" s="2" t="n">
        <v>0</v>
      </c>
      <c r="N70" s="2" t="inlineStr">
        <is>
          <t>T</t>
        </is>
      </c>
      <c r="O70" s="2" t="n">
        <v>24</v>
      </c>
      <c r="P70" s="2" t="inlineStr">
        <is>
          <t>Normale</t>
        </is>
      </c>
    </row>
    <row r="71">
      <c r="A71" s="2" t="inlineStr">
        <is>
          <t>Akanji</t>
        </is>
      </c>
      <c r="B71" s="2" t="inlineStr">
        <is>
          <t>Inter</t>
        </is>
      </c>
      <c r="C71" s="2" t="inlineStr">
        <is>
          <t>D</t>
        </is>
      </c>
      <c r="D71" s="2" t="inlineStr">
        <is>
          <t>Dc</t>
        </is>
      </c>
      <c r="E71" s="2" t="n">
        <v>15</v>
      </c>
      <c r="F71" s="2" t="n">
        <v>47</v>
      </c>
      <c r="G71" s="2" t="n">
        <v>20.95</v>
      </c>
      <c r="H71" s="2" t="n">
        <v>15.8</v>
      </c>
      <c r="I71" s="2" t="n">
        <v>2</v>
      </c>
      <c r="J71" s="2" t="inlineStr">
        <is>
          <t>Semi-Top</t>
        </is>
      </c>
      <c r="K71" s="2" t="n">
        <v>88</v>
      </c>
      <c r="L71" s="2" t="n">
        <v>6.38</v>
      </c>
      <c r="M71" s="2" t="n">
        <v>0</v>
      </c>
      <c r="N71" s="2" t="inlineStr">
        <is>
          <t>B</t>
        </is>
      </c>
      <c r="O71" s="2" t="n">
        <v>21</v>
      </c>
      <c r="P71" s="2" t="inlineStr">
        <is>
          <t>🟡 Ballottaggio</t>
        </is>
      </c>
    </row>
    <row r="72">
      <c r="A72" s="2" t="inlineStr">
        <is>
          <t>Rrahmani</t>
        </is>
      </c>
      <c r="B72" s="2" t="inlineStr">
        <is>
          <t>Napoli</t>
        </is>
      </c>
      <c r="C72" s="2" t="inlineStr">
        <is>
          <t>D</t>
        </is>
      </c>
      <c r="D72" s="2" t="inlineStr">
        <is>
          <t>Dc</t>
        </is>
      </c>
      <c r="E72" s="2" t="n">
        <v>15</v>
      </c>
      <c r="F72" s="2" t="n">
        <v>51</v>
      </c>
      <c r="G72" s="2" t="n">
        <v>18.15</v>
      </c>
      <c r="H72" s="2" t="n">
        <v>17.45</v>
      </c>
      <c r="I72" s="2" t="n">
        <v>1</v>
      </c>
      <c r="J72" s="2" t="inlineStr">
        <is>
          <t>Semi-Top</t>
        </is>
      </c>
      <c r="K72" s="2" t="n">
        <v>92</v>
      </c>
      <c r="L72" s="2" t="n">
        <v>6.36</v>
      </c>
      <c r="M72" s="2" t="n">
        <v>0</v>
      </c>
      <c r="N72" s="2" t="inlineStr">
        <is>
          <t>T</t>
        </is>
      </c>
      <c r="O72" s="2" t="n">
        <v>19</v>
      </c>
      <c r="P72" s="2" t="inlineStr">
        <is>
          <t>Normale</t>
        </is>
      </c>
    </row>
    <row r="73">
      <c r="A73" s="2" t="inlineStr">
        <is>
          <t>Bastoni</t>
        </is>
      </c>
      <c r="B73" s="2" t="inlineStr">
        <is>
          <t>Inter</t>
        </is>
      </c>
      <c r="C73" s="2" t="inlineStr">
        <is>
          <t>D</t>
        </is>
      </c>
      <c r="D73" s="2" t="inlineStr">
        <is>
          <t>Dc</t>
        </is>
      </c>
      <c r="E73" s="2" t="n">
        <v>14</v>
      </c>
      <c r="F73" s="2" t="n">
        <v>43</v>
      </c>
      <c r="G73" s="2" t="n">
        <v>24.1</v>
      </c>
      <c r="H73" s="2" t="n">
        <v>16.25</v>
      </c>
      <c r="I73" s="2" t="n">
        <v>2</v>
      </c>
      <c r="J73" s="2" t="inlineStr">
        <is>
          <t>Semi-Top</t>
        </is>
      </c>
      <c r="K73" s="2" t="n">
        <v>92</v>
      </c>
      <c r="L73" s="2" t="n">
        <v>6.35</v>
      </c>
      <c r="M73" s="2" t="n">
        <v>0</v>
      </c>
      <c r="N73" s="2" t="inlineStr">
        <is>
          <t>T</t>
        </is>
      </c>
      <c r="O73" s="2" t="n">
        <v>25</v>
      </c>
      <c r="P73" s="2" t="inlineStr">
        <is>
          <t>Normale</t>
        </is>
      </c>
    </row>
    <row r="74">
      <c r="A74" s="2" t="inlineStr">
        <is>
          <t>Kalulu</t>
        </is>
      </c>
      <c r="B74" s="2" t="inlineStr">
        <is>
          <t>Juventus</t>
        </is>
      </c>
      <c r="C74" s="2" t="inlineStr">
        <is>
          <t>D</t>
        </is>
      </c>
      <c r="D74" s="2" t="inlineStr">
        <is>
          <t>Dd/Dc</t>
        </is>
      </c>
      <c r="E74" s="2" t="n">
        <v>14</v>
      </c>
      <c r="F74" s="2" t="n">
        <v>47</v>
      </c>
      <c r="G74" s="2" t="n">
        <v>21.25</v>
      </c>
      <c r="H74" s="2" t="n">
        <v>16.6</v>
      </c>
      <c r="I74" s="2" t="n">
        <v>2</v>
      </c>
      <c r="J74" s="2" t="inlineStr">
        <is>
          <t>Semi-Top</t>
        </is>
      </c>
      <c r="K74" s="2" t="n">
        <v>92</v>
      </c>
      <c r="L74" s="2" t="n">
        <v>6.35</v>
      </c>
      <c r="M74" s="2" t="n">
        <v>0</v>
      </c>
      <c r="N74" s="2" t="inlineStr">
        <is>
          <t>T</t>
        </is>
      </c>
      <c r="O74" s="2" t="n">
        <v>22</v>
      </c>
      <c r="P74" s="2" t="inlineStr">
        <is>
          <t>Normale</t>
        </is>
      </c>
    </row>
    <row r="75">
      <c r="A75" s="2" t="inlineStr">
        <is>
          <t>Pavlovic</t>
        </is>
      </c>
      <c r="B75" s="2" t="inlineStr">
        <is>
          <t>Milan</t>
        </is>
      </c>
      <c r="C75" s="2" t="inlineStr">
        <is>
          <t>D</t>
        </is>
      </c>
      <c r="D75" s="2" t="inlineStr">
        <is>
          <t>Dc</t>
        </is>
      </c>
      <c r="E75" s="2" t="n">
        <v>14</v>
      </c>
      <c r="F75" s="2" t="n">
        <v>49</v>
      </c>
      <c r="G75" s="2" t="n">
        <v>18</v>
      </c>
      <c r="H75" s="2" t="n">
        <v>18.45</v>
      </c>
      <c r="I75" s="2" t="n">
        <v>1</v>
      </c>
      <c r="J75" s="2" t="inlineStr">
        <is>
          <t>Semi-Top</t>
        </is>
      </c>
      <c r="K75" s="2" t="n">
        <v>92</v>
      </c>
      <c r="L75" s="2" t="n">
        <v>6.38</v>
      </c>
      <c r="M75" s="2" t="n">
        <v>0</v>
      </c>
      <c r="N75" s="2" t="inlineStr">
        <is>
          <t>T</t>
        </is>
      </c>
      <c r="O75" s="2" t="n">
        <v>19</v>
      </c>
      <c r="P75" s="2" t="inlineStr">
        <is>
          <t>Normale</t>
        </is>
      </c>
    </row>
    <row r="76">
      <c r="A76" s="2" t="inlineStr">
        <is>
          <t>Gila</t>
        </is>
      </c>
      <c r="B76" s="2" t="inlineStr">
        <is>
          <t>Milan</t>
        </is>
      </c>
      <c r="C76" s="2" t="inlineStr">
        <is>
          <t>D</t>
        </is>
      </c>
      <c r="D76" s="2" t="inlineStr">
        <is>
          <t>Dc</t>
        </is>
      </c>
      <c r="E76" s="2" t="n">
        <v>13</v>
      </c>
      <c r="F76" s="2" t="n">
        <v>31</v>
      </c>
      <c r="G76" s="2" t="n">
        <v>17.5</v>
      </c>
      <c r="H76" s="2" t="n">
        <v>13.8</v>
      </c>
      <c r="I76" s="2" t="n">
        <v>2</v>
      </c>
      <c r="J76" s="2" t="inlineStr">
        <is>
          <t>Semi-Top</t>
        </is>
      </c>
      <c r="K76" s="2" t="n">
        <v>92</v>
      </c>
      <c r="L76" s="2" t="n">
        <v>6.31</v>
      </c>
      <c r="M76" s="2" t="n">
        <v>0</v>
      </c>
      <c r="N76" s="2" t="inlineStr">
        <is>
          <t>T</t>
        </is>
      </c>
      <c r="O76" s="2" t="n">
        <v>18.5</v>
      </c>
      <c r="P76" s="2" t="inlineStr">
        <is>
          <t>Normale</t>
        </is>
      </c>
    </row>
    <row r="77">
      <c r="A77" s="2" t="inlineStr">
        <is>
          <t>N'Dicka</t>
        </is>
      </c>
      <c r="B77" s="2" t="inlineStr">
        <is>
          <t>Roma</t>
        </is>
      </c>
      <c r="C77" s="2" t="inlineStr">
        <is>
          <t>D</t>
        </is>
      </c>
      <c r="D77" s="2" t="inlineStr">
        <is>
          <t>Dc</t>
        </is>
      </c>
      <c r="E77" s="2" t="n">
        <v>13</v>
      </c>
      <c r="F77" s="2" t="n">
        <v>42</v>
      </c>
      <c r="G77" s="2" t="n">
        <v>14.45</v>
      </c>
      <c r="H77" s="2" t="n">
        <v>11.75</v>
      </c>
      <c r="I77" s="2" t="n">
        <v>3</v>
      </c>
      <c r="J77" s="2" t="inlineStr">
        <is>
          <t>Semi-Top</t>
        </is>
      </c>
      <c r="K77" s="2" t="n">
        <v>86</v>
      </c>
      <c r="L77" s="2" t="n">
        <v>6.32</v>
      </c>
      <c r="M77" s="2" t="n">
        <v>0</v>
      </c>
      <c r="N77" s="2" t="inlineStr">
        <is>
          <t>T</t>
        </is>
      </c>
      <c r="O77" s="2" t="n">
        <v>15</v>
      </c>
      <c r="P77" s="2" t="inlineStr">
        <is>
          <t>Normale</t>
        </is>
      </c>
    </row>
    <row r="78">
      <c r="A78" s="2" t="inlineStr">
        <is>
          <t>Solet</t>
        </is>
      </c>
      <c r="B78" s="2" t="inlineStr">
        <is>
          <t>Udinese</t>
        </is>
      </c>
      <c r="C78" s="2" t="inlineStr">
        <is>
          <t>D</t>
        </is>
      </c>
      <c r="D78" s="2" t="inlineStr">
        <is>
          <t>Dc</t>
        </is>
      </c>
      <c r="E78" s="2" t="n">
        <v>13</v>
      </c>
      <c r="F78" s="2" t="n">
        <v>46</v>
      </c>
      <c r="G78" s="2" t="n">
        <v>19.8</v>
      </c>
      <c r="H78" s="2" t="n">
        <v>17.05</v>
      </c>
      <c r="I78" s="2" t="n">
        <v>2</v>
      </c>
      <c r="J78" s="2" t="inlineStr">
        <is>
          <t>Semi-Top</t>
        </is>
      </c>
      <c r="K78" s="2" t="n">
        <v>92</v>
      </c>
      <c r="L78" s="2" t="n">
        <v>6.36</v>
      </c>
      <c r="M78" s="2" t="n">
        <v>20</v>
      </c>
      <c r="N78" s="2" t="inlineStr">
        <is>
          <t>T</t>
        </is>
      </c>
      <c r="O78" s="2" t="n">
        <v>20</v>
      </c>
      <c r="P78" s="2" t="inlineStr">
        <is>
          <t>Normale</t>
        </is>
      </c>
    </row>
    <row r="79">
      <c r="A79" s="2" t="inlineStr">
        <is>
          <t>Bisseck</t>
        </is>
      </c>
      <c r="B79" s="2" t="inlineStr">
        <is>
          <t>Inter</t>
        </is>
      </c>
      <c r="C79" s="2" t="inlineStr">
        <is>
          <t>D</t>
        </is>
      </c>
      <c r="D79" s="2" t="inlineStr">
        <is>
          <t>Dc</t>
        </is>
      </c>
      <c r="E79" s="2" t="n">
        <v>12</v>
      </c>
      <c r="F79" s="2" t="n">
        <v>36</v>
      </c>
      <c r="G79" s="2" t="n">
        <v>15.65</v>
      </c>
      <c r="H79" s="2" t="n">
        <v>14.35</v>
      </c>
      <c r="I79" s="2" t="n">
        <v>2</v>
      </c>
      <c r="J79" s="2" t="inlineStr">
        <is>
          <t>Semi-Top</t>
        </is>
      </c>
      <c r="K79" s="2" t="n">
        <v>88</v>
      </c>
      <c r="L79" s="2" t="n">
        <v>6.35</v>
      </c>
      <c r="M79" s="2" t="n">
        <v>0</v>
      </c>
      <c r="N79" s="2" t="inlineStr">
        <is>
          <t>T</t>
        </is>
      </c>
      <c r="O79" s="2" t="n">
        <v>18</v>
      </c>
      <c r="P79" s="2" t="inlineStr">
        <is>
          <t>Normale</t>
        </is>
      </c>
    </row>
    <row r="80">
      <c r="A80" s="2" t="inlineStr">
        <is>
          <t>Di Lorenzo</t>
        </is>
      </c>
      <c r="B80" s="2" t="inlineStr">
        <is>
          <t>Napoli</t>
        </is>
      </c>
      <c r="C80" s="2" t="inlineStr">
        <is>
          <t>D</t>
        </is>
      </c>
      <c r="D80" s="2" t="inlineStr">
        <is>
          <t>Dd/E</t>
        </is>
      </c>
      <c r="E80" s="2" t="n">
        <v>12</v>
      </c>
      <c r="F80" s="2" t="n">
        <v>39</v>
      </c>
      <c r="G80" s="2" t="n">
        <v>16</v>
      </c>
      <c r="H80" s="2" t="n">
        <v>18.95</v>
      </c>
      <c r="I80" s="2" t="n">
        <v>1</v>
      </c>
      <c r="J80" s="2" t="inlineStr">
        <is>
          <t>Semi-Top</t>
        </is>
      </c>
      <c r="K80" s="2" t="n">
        <v>92</v>
      </c>
      <c r="L80" s="2" t="n">
        <v>6.39</v>
      </c>
      <c r="M80" s="2" t="n">
        <v>0</v>
      </c>
      <c r="N80" s="2" t="inlineStr">
        <is>
          <t>T</t>
        </is>
      </c>
      <c r="O80" s="2" t="n">
        <v>16</v>
      </c>
      <c r="P80" s="2" t="inlineStr">
        <is>
          <t>Normale</t>
        </is>
      </c>
    </row>
    <row r="81">
      <c r="A81" s="2" t="inlineStr">
        <is>
          <t>Stones</t>
        </is>
      </c>
      <c r="B81" s="2" t="inlineStr">
        <is>
          <t>Inter</t>
        </is>
      </c>
      <c r="C81" s="2" t="inlineStr">
        <is>
          <t>D</t>
        </is>
      </c>
      <c r="D81" s="2" t="inlineStr">
        <is>
          <t>Dc</t>
        </is>
      </c>
      <c r="E81" s="2" t="n">
        <v>12</v>
      </c>
      <c r="F81" s="2" t="n">
        <v>25</v>
      </c>
      <c r="G81" s="2" t="n">
        <v>9.449999999999999</v>
      </c>
      <c r="H81" s="2" t="n">
        <v>4.55</v>
      </c>
      <c r="I81" s="2" t="n">
        <v>5</v>
      </c>
      <c r="J81" s="2" t="inlineStr">
        <is>
          <t>OttimoTit</t>
        </is>
      </c>
      <c r="K81" s="2" t="n">
        <v>84</v>
      </c>
      <c r="L81" s="2" t="n">
        <v>6.22</v>
      </c>
      <c r="M81" s="2" t="n">
        <v>0</v>
      </c>
      <c r="N81" s="2" t="inlineStr">
        <is>
          <t>B</t>
        </is>
      </c>
      <c r="O81" s="2" t="n">
        <v>9</v>
      </c>
      <c r="P81" s="2" t="inlineStr">
        <is>
          <t>🟡 Ballottaggio</t>
        </is>
      </c>
    </row>
    <row r="82">
      <c r="A82" s="2" t="inlineStr">
        <is>
          <t>Hermoso</t>
        </is>
      </c>
      <c r="B82" s="2" t="inlineStr">
        <is>
          <t>Roma</t>
        </is>
      </c>
      <c r="C82" s="2" t="inlineStr">
        <is>
          <t>D</t>
        </is>
      </c>
      <c r="D82" s="2" t="inlineStr">
        <is>
          <t>Dc</t>
        </is>
      </c>
      <c r="E82" s="2" t="n">
        <v>11</v>
      </c>
      <c r="F82" s="2" t="n">
        <v>26</v>
      </c>
      <c r="G82" s="2" t="n">
        <v>9.9</v>
      </c>
      <c r="H82" s="2" t="n">
        <v>3.15</v>
      </c>
      <c r="I82" s="2" t="n">
        <v>6</v>
      </c>
      <c r="J82" s="2" t="inlineStr">
        <is>
          <t>OttimoTit</t>
        </is>
      </c>
      <c r="K82" s="2" t="n">
        <v>88</v>
      </c>
      <c r="L82" s="2" t="n">
        <v>6.17</v>
      </c>
      <c r="M82" s="2" t="n">
        <v>0</v>
      </c>
      <c r="N82" s="2" t="inlineStr">
        <is>
          <t>T</t>
        </is>
      </c>
      <c r="O82" s="2" t="n">
        <v>10</v>
      </c>
      <c r="P82" s="2" t="inlineStr">
        <is>
          <t>Normale</t>
        </is>
      </c>
    </row>
    <row r="83">
      <c r="A83" s="2" t="inlineStr">
        <is>
          <t>Ostigard</t>
        </is>
      </c>
      <c r="B83" s="2" t="inlineStr">
        <is>
          <t>Genoa</t>
        </is>
      </c>
      <c r="C83" s="2" t="inlineStr">
        <is>
          <t>D</t>
        </is>
      </c>
      <c r="D83" s="2" t="inlineStr">
        <is>
          <t>Dc</t>
        </is>
      </c>
      <c r="E83" s="2" t="n">
        <v>11</v>
      </c>
      <c r="F83" s="2" t="n">
        <v>41</v>
      </c>
      <c r="G83" s="2" t="n">
        <v>11.9</v>
      </c>
      <c r="H83" s="2" t="n">
        <v>9.35</v>
      </c>
      <c r="I83" s="2" t="n">
        <v>3</v>
      </c>
      <c r="J83" s="2" t="inlineStr">
        <is>
          <t>OttimoTit</t>
        </is>
      </c>
      <c r="K83" s="2" t="n">
        <v>92</v>
      </c>
      <c r="L83" s="2" t="n">
        <v>6.24</v>
      </c>
      <c r="M83" s="2" t="n">
        <v>20</v>
      </c>
      <c r="N83" s="2" t="inlineStr">
        <is>
          <t>T</t>
        </is>
      </c>
      <c r="O83" s="2" t="n">
        <v>11</v>
      </c>
      <c r="P83" s="2" t="inlineStr">
        <is>
          <t>Normale</t>
        </is>
      </c>
    </row>
    <row r="84">
      <c r="A84" s="2" t="inlineStr">
        <is>
          <t>Spence</t>
        </is>
      </c>
      <c r="B84" s="2" t="inlineStr">
        <is>
          <t>Inter</t>
        </is>
      </c>
      <c r="C84" s="2" t="inlineStr">
        <is>
          <t>D</t>
        </is>
      </c>
      <c r="D84" s="2" t="inlineStr">
        <is>
          <t>E</t>
        </is>
      </c>
      <c r="E84" s="2" t="n">
        <v>11</v>
      </c>
      <c r="F84" s="2" t="n">
        <v>37</v>
      </c>
      <c r="G84" s="2" t="n">
        <v>12.15</v>
      </c>
      <c r="H84" s="2" t="n">
        <v>17.05</v>
      </c>
      <c r="I84" s="2" t="n">
        <v>2</v>
      </c>
      <c r="J84" s="2" t="inlineStr">
        <is>
          <t>Semi-Top</t>
        </is>
      </c>
      <c r="K84" s="2" t="n">
        <v>90</v>
      </c>
      <c r="L84" s="2" t="n">
        <v>6.38</v>
      </c>
      <c r="M84" s="2" t="n">
        <v>0</v>
      </c>
      <c r="N84" s="2" t="inlineStr">
        <is>
          <t>B</t>
        </is>
      </c>
      <c r="O84" s="2" t="n">
        <v>10</v>
      </c>
      <c r="P84" s="2" t="inlineStr">
        <is>
          <t>🟡 Ballottaggio</t>
        </is>
      </c>
    </row>
    <row r="85">
      <c r="A85" s="2" t="inlineStr">
        <is>
          <t>Chalobah T.</t>
        </is>
      </c>
      <c r="B85" s="2" t="inlineStr">
        <is>
          <t>Como</t>
        </is>
      </c>
      <c r="C85" s="2" t="inlineStr">
        <is>
          <t>D</t>
        </is>
      </c>
      <c r="D85" s="2" t="inlineStr">
        <is>
          <t>Dd/Dc</t>
        </is>
      </c>
      <c r="E85" s="2" t="n">
        <v>10</v>
      </c>
      <c r="F85" s="2" t="n">
        <v>32</v>
      </c>
      <c r="G85" s="2" t="n">
        <v>18.15</v>
      </c>
      <c r="H85" s="2" t="n">
        <v>13.55</v>
      </c>
      <c r="I85" s="2" t="n">
        <v>2</v>
      </c>
      <c r="J85" s="2" t="inlineStr">
        <is>
          <t>Semi-Top</t>
        </is>
      </c>
      <c r="K85" s="2" t="n">
        <v>92</v>
      </c>
      <c r="L85" s="2" t="n">
        <v>6.3</v>
      </c>
      <c r="M85" s="2" t="n">
        <v>0</v>
      </c>
      <c r="N85" s="2" t="inlineStr">
        <is>
          <t>T</t>
        </is>
      </c>
      <c r="O85" s="2" t="n">
        <v>19</v>
      </c>
      <c r="P85" s="2" t="inlineStr">
        <is>
          <t>Normale</t>
        </is>
      </c>
    </row>
    <row r="86">
      <c r="A86" s="2" t="inlineStr">
        <is>
          <t>Ramon</t>
        </is>
      </c>
      <c r="B86" s="2" t="inlineStr">
        <is>
          <t>Como</t>
        </is>
      </c>
      <c r="C86" s="2" t="inlineStr">
        <is>
          <t>D</t>
        </is>
      </c>
      <c r="D86" s="2" t="inlineStr">
        <is>
          <t>Dc</t>
        </is>
      </c>
      <c r="E86" s="2" t="n">
        <v>10</v>
      </c>
      <c r="F86" s="2" t="n">
        <v>31</v>
      </c>
      <c r="G86" s="2" t="n">
        <v>15</v>
      </c>
      <c r="H86" s="2" t="n">
        <v>8.300000000000001</v>
      </c>
      <c r="I86" s="2" t="n">
        <v>3</v>
      </c>
      <c r="J86" s="2" t="inlineStr">
        <is>
          <t>OttimoTit</t>
        </is>
      </c>
      <c r="K86" s="2" t="n">
        <v>92</v>
      </c>
      <c r="L86" s="2" t="n">
        <v>6.22</v>
      </c>
      <c r="M86" s="2" t="n">
        <v>0</v>
      </c>
      <c r="N86" s="2" t="inlineStr">
        <is>
          <t>T</t>
        </is>
      </c>
      <c r="O86" s="2" t="n">
        <v>16</v>
      </c>
      <c r="P86" s="2" t="inlineStr">
        <is>
          <t>Normale</t>
        </is>
      </c>
    </row>
    <row r="87">
      <c r="A87" s="2" t="inlineStr">
        <is>
          <t>Scalvini</t>
        </is>
      </c>
      <c r="B87" s="2" t="inlineStr">
        <is>
          <t>Atalanta</t>
        </is>
      </c>
      <c r="C87" s="2" t="inlineStr">
        <is>
          <t>D</t>
        </is>
      </c>
      <c r="D87" s="2" t="inlineStr">
        <is>
          <t>Dc</t>
        </is>
      </c>
      <c r="E87" s="2" t="n">
        <v>10</v>
      </c>
      <c r="F87" s="2" t="n">
        <v>28</v>
      </c>
      <c r="G87" s="2" t="n">
        <v>9.550000000000001</v>
      </c>
      <c r="H87" s="2" t="n">
        <v>7</v>
      </c>
      <c r="I87" s="2" t="n">
        <v>3</v>
      </c>
      <c r="J87" s="2" t="inlineStr">
        <is>
          <t>OttimoTit</t>
        </is>
      </c>
      <c r="K87" s="2" t="n">
        <v>90</v>
      </c>
      <c r="L87" s="2" t="n">
        <v>6.21</v>
      </c>
      <c r="M87" s="2" t="n">
        <v>0</v>
      </c>
      <c r="N87" s="2" t="inlineStr">
        <is>
          <t>T</t>
        </is>
      </c>
      <c r="O87" s="2" t="n">
        <v>9</v>
      </c>
      <c r="P87" s="2" t="inlineStr">
        <is>
          <t>Normale</t>
        </is>
      </c>
    </row>
    <row r="88">
      <c r="A88" s="2" t="inlineStr">
        <is>
          <t>Dodò</t>
        </is>
      </c>
      <c r="B88" s="2" t="inlineStr">
        <is>
          <t>Fiorentina</t>
        </is>
      </c>
      <c r="C88" s="2" t="inlineStr">
        <is>
          <t>D</t>
        </is>
      </c>
      <c r="D88" s="2" t="inlineStr">
        <is>
          <t>Dd/E</t>
        </is>
      </c>
      <c r="E88" s="2" t="n">
        <v>9</v>
      </c>
      <c r="F88" s="2" t="n">
        <v>20</v>
      </c>
      <c r="G88" s="2" t="n">
        <v>2.05</v>
      </c>
      <c r="H88" s="2" t="n">
        <v>0.5</v>
      </c>
      <c r="I88" s="2" t="n">
        <v>8</v>
      </c>
      <c r="J88" s="2" t="inlineStr">
        <is>
          <t>Riserva</t>
        </is>
      </c>
      <c r="K88" s="2" t="n">
        <v>60</v>
      </c>
      <c r="L88" s="2" t="n">
        <v>6.02</v>
      </c>
      <c r="M88" s="2" t="n">
        <v>0</v>
      </c>
      <c r="N88" s="2" t="inlineStr">
        <is>
          <t>P</t>
        </is>
      </c>
      <c r="O88" s="2" t="n">
        <v>1</v>
      </c>
      <c r="P88" s="2" t="inlineStr">
        <is>
          <t>🪑 Riserva Fissa (da fasciaFc)</t>
        </is>
      </c>
    </row>
    <row r="89">
      <c r="A89" s="2" t="inlineStr">
        <is>
          <t>Kamara H.</t>
        </is>
      </c>
      <c r="B89" s="2" t="inlineStr">
        <is>
          <t>Udinese</t>
        </is>
      </c>
      <c r="C89" s="2" t="inlineStr">
        <is>
          <t>D</t>
        </is>
      </c>
      <c r="D89" s="2" t="inlineStr">
        <is>
          <t>Ds/E</t>
        </is>
      </c>
      <c r="E89" s="2" t="n">
        <v>9</v>
      </c>
      <c r="F89" s="2" t="n">
        <v>12</v>
      </c>
      <c r="G89" s="2" t="n">
        <v>5.85</v>
      </c>
      <c r="H89" s="2" t="n">
        <v>0.5</v>
      </c>
      <c r="I89" s="2" t="n">
        <v>8</v>
      </c>
      <c r="J89" s="2" t="inlineStr">
        <is>
          <t>TitLowCost</t>
        </is>
      </c>
      <c r="K89" s="2" t="n">
        <v>86</v>
      </c>
      <c r="L89" s="2" t="n">
        <v>6.13</v>
      </c>
      <c r="M89" s="2" t="n">
        <v>0</v>
      </c>
      <c r="N89" s="2" t="inlineStr">
        <is>
          <t>T</t>
        </is>
      </c>
      <c r="O89" s="2" t="n">
        <v>5</v>
      </c>
      <c r="P89" s="2" t="inlineStr">
        <is>
          <t>Normale</t>
        </is>
      </c>
    </row>
    <row r="90">
      <c r="A90" s="2" t="inlineStr">
        <is>
          <t>Vasquez</t>
        </is>
      </c>
      <c r="B90" s="2" t="inlineStr">
        <is>
          <t>Genoa</t>
        </is>
      </c>
      <c r="C90" s="2" t="inlineStr">
        <is>
          <t>D</t>
        </is>
      </c>
      <c r="D90" s="2" t="inlineStr">
        <is>
          <t>Ds/Dc</t>
        </is>
      </c>
      <c r="E90" s="2" t="n">
        <v>9</v>
      </c>
      <c r="F90" s="2" t="n">
        <v>30</v>
      </c>
      <c r="G90" s="2" t="n">
        <v>8.35</v>
      </c>
      <c r="H90" s="2" t="n">
        <v>4.2</v>
      </c>
      <c r="I90" s="2" t="n">
        <v>5</v>
      </c>
      <c r="J90" s="2" t="inlineStr">
        <is>
          <t>OttimoTit</t>
        </is>
      </c>
      <c r="K90" s="2" t="n">
        <v>92</v>
      </c>
      <c r="L90" s="2" t="n">
        <v>6.15</v>
      </c>
      <c r="M90" s="2" t="n">
        <v>0</v>
      </c>
      <c r="N90" s="2" t="inlineStr">
        <is>
          <t>T</t>
        </is>
      </c>
      <c r="O90" s="2" t="n">
        <v>8</v>
      </c>
      <c r="P90" s="2" t="inlineStr">
        <is>
          <t>Normale</t>
        </is>
      </c>
    </row>
    <row r="91">
      <c r="A91" s="2" t="inlineStr">
        <is>
          <t>Vojvoda</t>
        </is>
      </c>
      <c r="B91" s="2" t="inlineStr">
        <is>
          <t>Udinese</t>
        </is>
      </c>
      <c r="C91" s="2" t="inlineStr">
        <is>
          <t>D</t>
        </is>
      </c>
      <c r="D91" s="2" t="inlineStr">
        <is>
          <t>Dd/E</t>
        </is>
      </c>
      <c r="E91" s="2" t="n">
        <v>9</v>
      </c>
      <c r="F91" s="2" t="n">
        <v>19</v>
      </c>
      <c r="G91" s="2" t="n">
        <v>8.35</v>
      </c>
      <c r="H91" s="2" t="n">
        <v>6.35</v>
      </c>
      <c r="I91" s="2" t="n">
        <v>4</v>
      </c>
      <c r="J91" s="2" t="inlineStr">
        <is>
          <t>OttimoTit</t>
        </is>
      </c>
      <c r="K91" s="2" t="n">
        <v>88</v>
      </c>
      <c r="L91" s="2" t="n">
        <v>6.22</v>
      </c>
      <c r="M91" s="2" t="n">
        <v>0</v>
      </c>
      <c r="N91" s="2" t="inlineStr">
        <is>
          <t>T</t>
        </is>
      </c>
      <c r="O91" s="2" t="n">
        <v>9</v>
      </c>
      <c r="P91" s="2" t="inlineStr">
        <is>
          <t>Normale</t>
        </is>
      </c>
    </row>
    <row r="92">
      <c r="A92" s="2" t="inlineStr">
        <is>
          <t>Bartesaghi</t>
        </is>
      </c>
      <c r="B92" s="2" t="inlineStr">
        <is>
          <t>Milan</t>
        </is>
      </c>
      <c r="C92" s="2" t="inlineStr">
        <is>
          <t>D</t>
        </is>
      </c>
      <c r="D92" s="2" t="inlineStr">
        <is>
          <t>Ds/E</t>
        </is>
      </c>
      <c r="E92" s="2" t="n">
        <v>8</v>
      </c>
      <c r="F92" s="2" t="n">
        <v>22</v>
      </c>
      <c r="G92" s="2" t="n">
        <v>4.45</v>
      </c>
      <c r="H92" s="2" t="n">
        <v>6.4</v>
      </c>
      <c r="I92" s="2" t="n">
        <v>4</v>
      </c>
      <c r="J92" s="2" t="inlineStr">
        <is>
          <t>OttimoTit</t>
        </is>
      </c>
      <c r="K92" s="2" t="n">
        <v>88</v>
      </c>
      <c r="L92" s="2" t="n">
        <v>6.22</v>
      </c>
      <c r="M92" s="2" t="n">
        <v>0</v>
      </c>
      <c r="N92" s="2" t="inlineStr">
        <is>
          <t>B</t>
        </is>
      </c>
      <c r="O92" s="2" t="n">
        <v>3</v>
      </c>
      <c r="P92" s="2" t="inlineStr">
        <is>
          <t>🟡 Ballottaggio</t>
        </is>
      </c>
    </row>
    <row r="93">
      <c r="A93" s="2" t="inlineStr">
        <is>
          <t>Cambiaso</t>
        </is>
      </c>
      <c r="B93" s="2" t="inlineStr">
        <is>
          <t>Juventus</t>
        </is>
      </c>
      <c r="C93" s="2" t="inlineStr">
        <is>
          <t>D</t>
        </is>
      </c>
      <c r="D93" s="2" t="inlineStr">
        <is>
          <t>Dd/Ds/E</t>
        </is>
      </c>
      <c r="E93" s="2" t="n">
        <v>8</v>
      </c>
      <c r="F93" s="2" t="n">
        <v>18</v>
      </c>
      <c r="G93" s="2" t="n">
        <v>5.75</v>
      </c>
      <c r="H93" s="2" t="n">
        <v>10.65</v>
      </c>
      <c r="I93" s="2" t="n">
        <v>3</v>
      </c>
      <c r="J93" s="2" t="inlineStr">
        <is>
          <t>Semi-Top</t>
        </is>
      </c>
      <c r="K93" s="2" t="n">
        <v>84</v>
      </c>
      <c r="L93" s="2" t="n">
        <v>6.33</v>
      </c>
      <c r="M93" s="2" t="n">
        <v>0</v>
      </c>
      <c r="N93" s="2" t="inlineStr">
        <is>
          <t>B</t>
        </is>
      </c>
      <c r="O93" s="2" t="n">
        <v>4.5</v>
      </c>
      <c r="P93" s="2" t="inlineStr">
        <is>
          <t>🟡 Ballottaggio</t>
        </is>
      </c>
    </row>
    <row r="94">
      <c r="A94" s="2" t="inlineStr">
        <is>
          <t>Celik</t>
        </is>
      </c>
      <c r="B94" s="2" t="inlineStr">
        <is>
          <t>Juventus</t>
        </is>
      </c>
      <c r="C94" s="2" t="inlineStr">
        <is>
          <t>D</t>
        </is>
      </c>
      <c r="D94" s="2" t="inlineStr">
        <is>
          <t>B/Dd/E</t>
        </is>
      </c>
      <c r="E94" s="2" t="n">
        <v>8</v>
      </c>
      <c r="F94" s="2" t="n">
        <v>16</v>
      </c>
      <c r="G94" s="2" t="n">
        <v>10.3</v>
      </c>
      <c r="H94" s="2" t="n">
        <v>5.75</v>
      </c>
      <c r="I94" s="2" t="n">
        <v>4</v>
      </c>
      <c r="J94" s="2" t="inlineStr">
        <is>
          <t>OttimoTit</t>
        </is>
      </c>
      <c r="K94" s="2" t="n">
        <v>86</v>
      </c>
      <c r="L94" s="2" t="n">
        <v>6.23</v>
      </c>
      <c r="M94" s="2" t="n">
        <v>0</v>
      </c>
      <c r="N94" s="2" t="inlineStr">
        <is>
          <t>B</t>
        </is>
      </c>
      <c r="O94" s="2" t="n">
        <v>10</v>
      </c>
      <c r="P94" s="2" t="inlineStr">
        <is>
          <t>🟡 Ballottaggio</t>
        </is>
      </c>
    </row>
    <row r="95">
      <c r="A95" s="2" t="inlineStr">
        <is>
          <t>Comuzzo</t>
        </is>
      </c>
      <c r="B95" s="2" t="inlineStr">
        <is>
          <t>Torino</t>
        </is>
      </c>
      <c r="C95" s="2" t="inlineStr">
        <is>
          <t>D</t>
        </is>
      </c>
      <c r="D95" s="2" t="inlineStr">
        <is>
          <t>Dc</t>
        </is>
      </c>
      <c r="E95" s="2" t="n">
        <v>8</v>
      </c>
      <c r="F95" s="2" t="n">
        <v>13</v>
      </c>
      <c r="G95" s="2" t="n">
        <v>3.55</v>
      </c>
      <c r="H95" s="2" t="n">
        <v>2.65</v>
      </c>
      <c r="I95" s="2" t="n">
        <v>6</v>
      </c>
      <c r="J95" s="2" t="inlineStr">
        <is>
          <t>OttimoTit</t>
        </is>
      </c>
      <c r="K95" s="2" t="n">
        <v>90</v>
      </c>
      <c r="L95" s="2" t="n">
        <v>6.14</v>
      </c>
      <c r="M95" s="2" t="n">
        <v>0</v>
      </c>
      <c r="N95" s="2" t="inlineStr">
        <is>
          <t>T</t>
        </is>
      </c>
      <c r="O95" s="2" t="n">
        <v>3</v>
      </c>
      <c r="P95" s="2" t="inlineStr">
        <is>
          <t>Normale</t>
        </is>
      </c>
    </row>
    <row r="96">
      <c r="A96" s="2" t="inlineStr">
        <is>
          <t>Couto</t>
        </is>
      </c>
      <c r="B96" s="2" t="inlineStr">
        <is>
          <t>Como</t>
        </is>
      </c>
      <c r="C96" s="2" t="inlineStr">
        <is>
          <t>D</t>
        </is>
      </c>
      <c r="D96" s="2" t="inlineStr">
        <is>
          <t>Dd/E</t>
        </is>
      </c>
      <c r="E96" s="2" t="n">
        <v>8</v>
      </c>
      <c r="F96" s="2" t="n">
        <v>25</v>
      </c>
      <c r="G96" s="2" t="n">
        <v>9.550000000000001</v>
      </c>
      <c r="H96" s="2" t="n">
        <v>6.9</v>
      </c>
      <c r="I96" s="2" t="n">
        <v>4</v>
      </c>
      <c r="J96" s="2" t="inlineStr">
        <is>
          <t>OttimoTit</t>
        </is>
      </c>
      <c r="K96" s="2" t="n">
        <v>92</v>
      </c>
      <c r="L96" s="2" t="n">
        <v>6.2</v>
      </c>
      <c r="M96" s="2" t="n">
        <v>0</v>
      </c>
      <c r="N96" s="2" t="inlineStr">
        <is>
          <t>T</t>
        </is>
      </c>
      <c r="O96" s="2" t="n">
        <v>12</v>
      </c>
      <c r="P96" s="2" t="inlineStr">
        <is>
          <t>Normale</t>
        </is>
      </c>
    </row>
    <row r="97">
      <c r="A97" s="2" t="inlineStr">
        <is>
          <t>Delprato</t>
        </is>
      </c>
      <c r="B97" s="2" t="inlineStr">
        <is>
          <t>Parma</t>
        </is>
      </c>
      <c r="C97" s="2" t="inlineStr">
        <is>
          <t>D</t>
        </is>
      </c>
      <c r="D97" s="2" t="inlineStr">
        <is>
          <t>B/Dd/E</t>
        </is>
      </c>
      <c r="E97" s="2" t="n">
        <v>8</v>
      </c>
      <c r="F97" s="2" t="n">
        <v>21</v>
      </c>
      <c r="G97" s="2" t="n">
        <v>7.25</v>
      </c>
      <c r="H97" s="2" t="n">
        <v>2.05</v>
      </c>
      <c r="I97" s="2" t="n">
        <v>7</v>
      </c>
      <c r="J97" s="2" t="inlineStr">
        <is>
          <t>OttimoTit</t>
        </is>
      </c>
      <c r="K97" s="2" t="n">
        <v>92</v>
      </c>
      <c r="L97" s="2" t="n">
        <v>6.12</v>
      </c>
      <c r="M97" s="2" t="n">
        <v>0</v>
      </c>
      <c r="N97" s="2" t="inlineStr">
        <is>
          <t>T</t>
        </is>
      </c>
      <c r="O97" s="2" t="n">
        <v>7</v>
      </c>
      <c r="P97" s="2" t="inlineStr">
        <is>
          <t>Normale</t>
        </is>
      </c>
    </row>
    <row r="98">
      <c r="A98" s="2" t="inlineStr">
        <is>
          <t>Diego Carlos</t>
        </is>
      </c>
      <c r="B98" s="2" t="inlineStr">
        <is>
          <t>Parma</t>
        </is>
      </c>
      <c r="C98" s="2" t="inlineStr">
        <is>
          <t>D</t>
        </is>
      </c>
      <c r="D98" s="2" t="inlineStr">
        <is>
          <t>Dc</t>
        </is>
      </c>
      <c r="E98" s="2" t="n">
        <v>8</v>
      </c>
      <c r="F98" s="2" t="n">
        <v>26</v>
      </c>
      <c r="G98" s="2" t="n">
        <v>2.25</v>
      </c>
      <c r="H98" s="2" t="n">
        <v>0.5</v>
      </c>
      <c r="I98" s="2" t="n">
        <v>8</v>
      </c>
      <c r="J98" s="2" t="inlineStr">
        <is>
          <t>TitLowCost</t>
        </is>
      </c>
      <c r="K98" s="2" t="n">
        <v>92</v>
      </c>
      <c r="L98" s="2" t="n">
        <v>6.07</v>
      </c>
      <c r="M98" s="2" t="n">
        <v>0</v>
      </c>
      <c r="N98" s="2" t="inlineStr">
        <is>
          <t>T</t>
        </is>
      </c>
      <c r="O98" s="2" t="n">
        <v>1</v>
      </c>
      <c r="P98" s="2" t="inlineStr">
        <is>
          <t>Normale</t>
        </is>
      </c>
    </row>
    <row r="99">
      <c r="A99" s="2" t="inlineStr">
        <is>
          <t>Doekhi</t>
        </is>
      </c>
      <c r="B99" s="2" t="inlineStr">
        <is>
          <t>Lazio</t>
        </is>
      </c>
      <c r="C99" s="2" t="inlineStr">
        <is>
          <t>D</t>
        </is>
      </c>
      <c r="D99" s="2" t="inlineStr">
        <is>
          <t>Dc</t>
        </is>
      </c>
      <c r="E99" s="2" t="n">
        <v>8</v>
      </c>
      <c r="F99" s="2" t="n">
        <v>16</v>
      </c>
      <c r="G99" s="2" t="n">
        <v>3.95</v>
      </c>
      <c r="H99" s="2" t="n">
        <v>3.45</v>
      </c>
      <c r="I99" s="2" t="n">
        <v>5</v>
      </c>
      <c r="J99" s="2" t="inlineStr">
        <is>
          <t>OttimoTit</t>
        </is>
      </c>
      <c r="K99" s="2" t="n">
        <v>92</v>
      </c>
      <c r="L99" s="2" t="n">
        <v>6.14</v>
      </c>
      <c r="M99" s="2" t="n">
        <v>0</v>
      </c>
      <c r="N99" s="2" t="inlineStr">
        <is>
          <t>T</t>
        </is>
      </c>
      <c r="O99" s="2" t="n">
        <v>3</v>
      </c>
      <c r="P99" s="2" t="inlineStr">
        <is>
          <t>Normale</t>
        </is>
      </c>
    </row>
    <row r="100">
      <c r="A100" s="2" t="inlineStr">
        <is>
          <t>Koulierakis</t>
        </is>
      </c>
      <c r="B100" s="2" t="inlineStr">
        <is>
          <t>Roma</t>
        </is>
      </c>
      <c r="C100" s="2" t="inlineStr">
        <is>
          <t>D</t>
        </is>
      </c>
      <c r="D100" s="2" t="inlineStr">
        <is>
          <t>Dc</t>
        </is>
      </c>
      <c r="E100" s="2" t="n">
        <v>8</v>
      </c>
      <c r="F100" s="2" t="n">
        <v>15</v>
      </c>
      <c r="G100" s="2" t="n">
        <v>2.25</v>
      </c>
      <c r="H100" s="2" t="n">
        <v>0.95</v>
      </c>
      <c r="I100" s="2" t="n">
        <v>7</v>
      </c>
      <c r="J100" s="2" t="inlineStr">
        <is>
          <t>OttimoTit</t>
        </is>
      </c>
      <c r="K100" s="2" t="n">
        <v>76</v>
      </c>
      <c r="L100" s="2" t="n">
        <v>6.23</v>
      </c>
      <c r="M100" s="2" t="n">
        <v>0</v>
      </c>
      <c r="N100" s="2" t="inlineStr">
        <is>
          <t>P</t>
        </is>
      </c>
      <c r="O100" s="2" t="n">
        <v>1</v>
      </c>
      <c r="P100" s="2" t="inlineStr">
        <is>
          <t>Normale</t>
        </is>
      </c>
    </row>
    <row r="101">
      <c r="A101" s="2" t="inlineStr">
        <is>
          <t>Miranda J.</t>
        </is>
      </c>
      <c r="B101" s="2" t="inlineStr">
        <is>
          <t>Bologna</t>
        </is>
      </c>
      <c r="C101" s="2" t="inlineStr">
        <is>
          <t>D</t>
        </is>
      </c>
      <c r="D101" s="2" t="inlineStr">
        <is>
          <t>Ds/E</t>
        </is>
      </c>
      <c r="E101" s="2" t="n">
        <v>8</v>
      </c>
      <c r="F101" s="2" t="n">
        <v>23</v>
      </c>
      <c r="G101" s="2" t="n">
        <v>4.75</v>
      </c>
      <c r="H101" s="2" t="n">
        <v>5.9</v>
      </c>
      <c r="I101" s="2" t="n">
        <v>4</v>
      </c>
      <c r="J101" s="2" t="inlineStr">
        <is>
          <t>OttimoTit</t>
        </is>
      </c>
      <c r="K101" s="2" t="n">
        <v>88</v>
      </c>
      <c r="L101" s="2" t="n">
        <v>6.21</v>
      </c>
      <c r="M101" s="2" t="n">
        <v>0</v>
      </c>
      <c r="N101" s="2" t="inlineStr">
        <is>
          <t>B</t>
        </is>
      </c>
      <c r="O101" s="2" t="n">
        <v>5</v>
      </c>
      <c r="P101" s="2" t="inlineStr">
        <is>
          <t>🟡 Ballottaggio</t>
        </is>
      </c>
    </row>
    <row r="102">
      <c r="A102" s="2" t="inlineStr">
        <is>
          <t>Spinazzola</t>
        </is>
      </c>
      <c r="B102" s="2" t="inlineStr">
        <is>
          <t>Napoli</t>
        </is>
      </c>
      <c r="C102" s="2" t="inlineStr">
        <is>
          <t>D</t>
        </is>
      </c>
      <c r="D102" s="2" t="inlineStr">
        <is>
          <t>Ds/E</t>
        </is>
      </c>
      <c r="E102" s="2" t="n">
        <v>8</v>
      </c>
      <c r="F102" s="2" t="n">
        <v>25</v>
      </c>
      <c r="G102" s="2" t="n">
        <v>7.35</v>
      </c>
      <c r="H102" s="2" t="n">
        <v>11.5</v>
      </c>
      <c r="I102" s="2" t="n">
        <v>3</v>
      </c>
      <c r="J102" s="2" t="inlineStr">
        <is>
          <t>Semi-Top</t>
        </is>
      </c>
      <c r="K102" s="2" t="n">
        <v>88</v>
      </c>
      <c r="L102" s="2" t="n">
        <v>6.31</v>
      </c>
      <c r="M102" s="2" t="n">
        <v>0</v>
      </c>
      <c r="N102" s="2" t="inlineStr">
        <is>
          <t>T</t>
        </is>
      </c>
      <c r="O102" s="2" t="n">
        <v>7</v>
      </c>
      <c r="P102" s="2" t="inlineStr">
        <is>
          <t>Normale</t>
        </is>
      </c>
    </row>
    <row r="103">
      <c r="A103" s="2" t="inlineStr">
        <is>
          <t>Theate</t>
        </is>
      </c>
      <c r="B103" s="2" t="inlineStr">
        <is>
          <t>Bologna</t>
        </is>
      </c>
      <c r="C103" s="2" t="inlineStr">
        <is>
          <t>D</t>
        </is>
      </c>
      <c r="D103" s="2" t="inlineStr">
        <is>
          <t>Ds/Dc</t>
        </is>
      </c>
      <c r="E103" s="2" t="n">
        <v>8</v>
      </c>
      <c r="F103" s="2" t="n">
        <v>20</v>
      </c>
      <c r="G103" s="2" t="n">
        <v>4.75</v>
      </c>
      <c r="H103" s="2" t="n">
        <v>2.4</v>
      </c>
      <c r="I103" s="2" t="n">
        <v>6</v>
      </c>
      <c r="J103" s="2" t="inlineStr">
        <is>
          <t>OttimoTit</t>
        </is>
      </c>
      <c r="K103" s="2" t="n">
        <v>88</v>
      </c>
      <c r="L103" s="2" t="n">
        <v>6.16</v>
      </c>
      <c r="M103" s="2" t="n">
        <v>0</v>
      </c>
      <c r="N103" s="2" t="inlineStr">
        <is>
          <t>T</t>
        </is>
      </c>
      <c r="O103" s="2" t="n">
        <v>5</v>
      </c>
      <c r="P103" s="2" t="inlineStr">
        <is>
          <t>Normale</t>
        </is>
      </c>
    </row>
    <row r="104">
      <c r="A104" s="2" t="inlineStr">
        <is>
          <t>Tiago Gabriel</t>
        </is>
      </c>
      <c r="B104" s="2" t="inlineStr">
        <is>
          <t>Lecce</t>
        </is>
      </c>
      <c r="C104" s="2" t="inlineStr">
        <is>
          <t>D</t>
        </is>
      </c>
      <c r="D104" s="2" t="inlineStr">
        <is>
          <t>Dc</t>
        </is>
      </c>
      <c r="E104" s="2" t="n">
        <v>8</v>
      </c>
      <c r="F104" s="2" t="n">
        <v>20</v>
      </c>
      <c r="G104" s="2" t="n">
        <v>4.3</v>
      </c>
      <c r="H104" s="2" t="n">
        <v>0.5</v>
      </c>
      <c r="I104" s="2" t="n">
        <v>8</v>
      </c>
      <c r="J104" s="2" t="inlineStr">
        <is>
          <t>TitLowCost</t>
        </is>
      </c>
      <c r="K104" s="2" t="n">
        <v>92</v>
      </c>
      <c r="L104" s="2" t="n">
        <v>6.05</v>
      </c>
      <c r="M104" s="2" t="n">
        <v>0</v>
      </c>
      <c r="N104" s="2" t="inlineStr">
        <is>
          <t>T</t>
        </is>
      </c>
      <c r="O104" s="2" t="n">
        <v>4</v>
      </c>
      <c r="P104" s="2" t="inlineStr">
        <is>
          <t>Normale</t>
        </is>
      </c>
    </row>
    <row r="105">
      <c r="A105" s="2" t="inlineStr">
        <is>
          <t>Valeri</t>
        </is>
      </c>
      <c r="B105" s="2" t="inlineStr">
        <is>
          <t>Parma</t>
        </is>
      </c>
      <c r="C105" s="2" t="inlineStr">
        <is>
          <t>D</t>
        </is>
      </c>
      <c r="D105" s="2" t="inlineStr">
        <is>
          <t>Ds/E</t>
        </is>
      </c>
      <c r="E105" s="2" t="n">
        <v>8</v>
      </c>
      <c r="F105" s="2" t="n">
        <v>22</v>
      </c>
      <c r="G105" s="2" t="n">
        <v>4</v>
      </c>
      <c r="H105" s="2" t="n">
        <v>5.85</v>
      </c>
      <c r="I105" s="2" t="n">
        <v>4</v>
      </c>
      <c r="J105" s="2" t="inlineStr">
        <is>
          <t>OttimoTit</t>
        </is>
      </c>
      <c r="K105" s="2" t="n">
        <v>92</v>
      </c>
      <c r="L105" s="2" t="n">
        <v>6.18</v>
      </c>
      <c r="M105" s="2" t="n">
        <v>20</v>
      </c>
      <c r="N105" s="2" t="inlineStr">
        <is>
          <t>T</t>
        </is>
      </c>
      <c r="O105" s="2" t="n">
        <v>4</v>
      </c>
      <c r="P105" s="2" t="inlineStr">
        <is>
          <t>Normale</t>
        </is>
      </c>
    </row>
    <row r="106">
      <c r="A106" s="2" t="inlineStr">
        <is>
          <t>Zappacosta</t>
        </is>
      </c>
      <c r="B106" s="2" t="inlineStr">
        <is>
          <t>Atalanta</t>
        </is>
      </c>
      <c r="C106" s="2" t="inlineStr">
        <is>
          <t>D</t>
        </is>
      </c>
      <c r="D106" s="2" t="inlineStr">
        <is>
          <t>Dd/E</t>
        </is>
      </c>
      <c r="E106" s="2" t="n">
        <v>8</v>
      </c>
      <c r="F106" s="2" t="n">
        <v>19</v>
      </c>
      <c r="G106" s="2" t="n">
        <v>5.85</v>
      </c>
      <c r="H106" s="2" t="n">
        <v>10.5</v>
      </c>
      <c r="I106" s="2" t="n">
        <v>3</v>
      </c>
      <c r="J106" s="2" t="inlineStr">
        <is>
          <t>OttimoTit</t>
        </is>
      </c>
      <c r="K106" s="2" t="n">
        <v>86</v>
      </c>
      <c r="L106" s="2" t="n">
        <v>6.31</v>
      </c>
      <c r="M106" s="2" t="n">
        <v>0</v>
      </c>
      <c r="N106" s="2" t="inlineStr">
        <is>
          <t>B</t>
        </is>
      </c>
      <c r="O106" s="2" t="n">
        <v>6</v>
      </c>
      <c r="P106" s="2" t="inlineStr">
        <is>
          <t>🟡 Ballottaggio</t>
        </is>
      </c>
    </row>
    <row r="107">
      <c r="A107" s="2" t="inlineStr">
        <is>
          <t>Badiashile</t>
        </is>
      </c>
      <c r="B107" s="2" t="inlineStr">
        <is>
          <t>Napoli</t>
        </is>
      </c>
      <c r="C107" s="2" t="inlineStr">
        <is>
          <t>D</t>
        </is>
      </c>
      <c r="D107" s="2" t="inlineStr">
        <is>
          <t>Dc</t>
        </is>
      </c>
      <c r="E107" s="2" t="n">
        <v>7</v>
      </c>
      <c r="F107" s="2" t="n">
        <v>18</v>
      </c>
      <c r="G107" s="2" t="n">
        <v>3.2</v>
      </c>
      <c r="H107" s="2" t="n">
        <v>0.5</v>
      </c>
      <c r="I107" s="2" t="n">
        <v>8</v>
      </c>
      <c r="J107" s="2" t="inlineStr">
        <is>
          <t>TitLowCost</t>
        </is>
      </c>
      <c r="K107" s="2" t="n">
        <v>80</v>
      </c>
      <c r="L107" s="2" t="n">
        <v>6.18</v>
      </c>
      <c r="M107" s="2" t="n">
        <v>0</v>
      </c>
      <c r="N107" s="2" t="inlineStr">
        <is>
          <t>P</t>
        </is>
      </c>
      <c r="O107" s="2" t="n">
        <v>2</v>
      </c>
      <c r="P107" s="2" t="inlineStr">
        <is>
          <t>Normale</t>
        </is>
      </c>
    </row>
    <row r="108">
      <c r="A108" s="2" t="inlineStr">
        <is>
          <t>Belghali</t>
        </is>
      </c>
      <c r="B108" s="2" t="inlineStr">
        <is>
          <t>Torino</t>
        </is>
      </c>
      <c r="C108" s="2" t="inlineStr">
        <is>
          <t>D</t>
        </is>
      </c>
      <c r="D108" s="2" t="inlineStr">
        <is>
          <t>Dd/E</t>
        </is>
      </c>
      <c r="E108" s="2" t="n">
        <v>7</v>
      </c>
      <c r="F108" s="2" t="n">
        <v>20</v>
      </c>
      <c r="G108" s="2" t="n">
        <v>2.4</v>
      </c>
      <c r="H108" s="2" t="n">
        <v>3.05</v>
      </c>
      <c r="I108" s="2" t="n">
        <v>6</v>
      </c>
      <c r="J108" s="2" t="inlineStr">
        <is>
          <t>OttimoTit</t>
        </is>
      </c>
      <c r="K108" s="2" t="n">
        <v>88</v>
      </c>
      <c r="L108" s="2" t="n">
        <v>6.16</v>
      </c>
      <c r="M108" s="2" t="n">
        <v>0</v>
      </c>
      <c r="N108" s="2" t="inlineStr">
        <is>
          <t>T</t>
        </is>
      </c>
      <c r="O108" s="2" t="n">
        <v>2</v>
      </c>
      <c r="P108" s="2" t="inlineStr">
        <is>
          <t>Normale</t>
        </is>
      </c>
    </row>
    <row r="109">
      <c r="A109" s="2" t="inlineStr">
        <is>
          <t>Bracaglia</t>
        </is>
      </c>
      <c r="B109" s="2" t="inlineStr">
        <is>
          <t>Frosinone</t>
        </is>
      </c>
      <c r="C109" s="2" t="inlineStr">
        <is>
          <t>D</t>
        </is>
      </c>
      <c r="D109" s="2" t="inlineStr">
        <is>
          <t>Ds/Dc</t>
        </is>
      </c>
      <c r="E109" s="2" t="n">
        <v>7</v>
      </c>
      <c r="F109" s="2" t="n">
        <v>15</v>
      </c>
      <c r="G109" s="2" t="n">
        <v>2.15</v>
      </c>
      <c r="H109" s="2" t="n">
        <v>0.5</v>
      </c>
      <c r="I109" s="2" t="n">
        <v>8</v>
      </c>
      <c r="J109" s="2" t="inlineStr">
        <is>
          <t>TitLowCost</t>
        </is>
      </c>
      <c r="K109" s="2" t="n">
        <v>88</v>
      </c>
      <c r="L109" s="2" t="n">
        <v>5.88</v>
      </c>
      <c r="M109" s="2" t="n">
        <v>0</v>
      </c>
      <c r="N109" s="2" t="inlineStr">
        <is>
          <t>T</t>
        </is>
      </c>
      <c r="O109" s="2" t="n">
        <v>1</v>
      </c>
      <c r="P109" s="2" t="inlineStr">
        <is>
          <t>Normale</t>
        </is>
      </c>
    </row>
    <row r="110">
      <c r="A110" s="2" t="inlineStr">
        <is>
          <t>Coco</t>
        </is>
      </c>
      <c r="B110" s="2" t="inlineStr">
        <is>
          <t>Torino</t>
        </is>
      </c>
      <c r="C110" s="2" t="inlineStr">
        <is>
          <t>D</t>
        </is>
      </c>
      <c r="D110" s="2" t="inlineStr">
        <is>
          <t>Dc</t>
        </is>
      </c>
      <c r="E110" s="2" t="n">
        <v>7</v>
      </c>
      <c r="F110" s="2" t="n">
        <v>14</v>
      </c>
      <c r="G110" s="2" t="n">
        <v>2.1</v>
      </c>
      <c r="H110" s="2" t="n">
        <v>0.5</v>
      </c>
      <c r="I110" s="2" t="n">
        <v>8</v>
      </c>
      <c r="J110" s="2" t="inlineStr">
        <is>
          <t>TitLowCost</t>
        </is>
      </c>
      <c r="K110" s="2" t="n">
        <v>88</v>
      </c>
      <c r="L110" s="2" t="n">
        <v>6.04</v>
      </c>
      <c r="M110" s="2" t="n">
        <v>0</v>
      </c>
      <c r="N110" s="2" t="inlineStr">
        <is>
          <t>T</t>
        </is>
      </c>
      <c r="O110" s="2" t="n">
        <v>1.5</v>
      </c>
      <c r="P110" s="2" t="inlineStr">
        <is>
          <t>Normale</t>
        </is>
      </c>
    </row>
    <row r="111">
      <c r="A111" s="2" t="inlineStr">
        <is>
          <t>Dragusin</t>
        </is>
      </c>
      <c r="B111" s="2" t="inlineStr">
        <is>
          <t>Fiorentina</t>
        </is>
      </c>
      <c r="C111" s="2" t="inlineStr">
        <is>
          <t>D</t>
        </is>
      </c>
      <c r="D111" s="2" t="inlineStr">
        <is>
          <t>Dc</t>
        </is>
      </c>
      <c r="E111" s="2" t="n">
        <v>7</v>
      </c>
      <c r="F111" s="2" t="n">
        <v>20</v>
      </c>
      <c r="G111" s="2" t="n">
        <v>4.65</v>
      </c>
      <c r="H111" s="2" t="n">
        <v>4.6</v>
      </c>
      <c r="I111" s="2" t="n">
        <v>5</v>
      </c>
      <c r="J111" s="2" t="inlineStr">
        <is>
          <t>OttimoTit</t>
        </is>
      </c>
      <c r="K111" s="2" t="n">
        <v>84</v>
      </c>
      <c r="L111" s="2" t="n">
        <v>6.22</v>
      </c>
      <c r="M111" s="2" t="n">
        <v>0</v>
      </c>
      <c r="N111" s="2" t="inlineStr">
        <is>
          <t>T</t>
        </is>
      </c>
      <c r="O111" s="2" t="n">
        <v>4.5</v>
      </c>
      <c r="P111" s="2" t="inlineStr">
        <is>
          <t>Normale</t>
        </is>
      </c>
    </row>
    <row r="112">
      <c r="A112" s="2" t="inlineStr">
        <is>
          <t>Gabbia</t>
        </is>
      </c>
      <c r="B112" s="2" t="inlineStr">
        <is>
          <t>Milan</t>
        </is>
      </c>
      <c r="C112" s="2" t="inlineStr">
        <is>
          <t>D</t>
        </is>
      </c>
      <c r="D112" s="2" t="inlineStr">
        <is>
          <t>Dc</t>
        </is>
      </c>
      <c r="E112" s="2" t="n">
        <v>7</v>
      </c>
      <c r="F112" s="2" t="n">
        <v>15</v>
      </c>
      <c r="G112" s="2" t="n">
        <v>2.1</v>
      </c>
      <c r="H112" s="2" t="n">
        <v>0.5</v>
      </c>
      <c r="I112" s="2" t="n">
        <v>8</v>
      </c>
      <c r="J112" s="2" t="inlineStr">
        <is>
          <t>TitLowCost</t>
        </is>
      </c>
      <c r="K112" s="2" t="n">
        <v>84</v>
      </c>
      <c r="L112" s="2" t="n">
        <v>6.14</v>
      </c>
      <c r="M112" s="2" t="n">
        <v>0</v>
      </c>
      <c r="N112" s="2" t="inlineStr">
        <is>
          <t>B</t>
        </is>
      </c>
      <c r="O112" s="2" t="n">
        <v>1</v>
      </c>
      <c r="P112" s="2" t="inlineStr">
        <is>
          <t>🟡 Ballottaggio</t>
        </is>
      </c>
    </row>
    <row r="113">
      <c r="A113" s="2" t="inlineStr">
        <is>
          <t>Hien</t>
        </is>
      </c>
      <c r="B113" s="2" t="inlineStr">
        <is>
          <t>Atalanta</t>
        </is>
      </c>
      <c r="C113" s="2" t="inlineStr">
        <is>
          <t>D</t>
        </is>
      </c>
      <c r="D113" s="2" t="inlineStr">
        <is>
          <t>Dc</t>
        </is>
      </c>
      <c r="E113" s="2" t="n">
        <v>7</v>
      </c>
      <c r="F113" s="2" t="n">
        <v>11</v>
      </c>
      <c r="G113" s="2" t="n">
        <v>1.45</v>
      </c>
      <c r="H113" s="2" t="n">
        <v>0.5</v>
      </c>
      <c r="I113" s="2" t="n">
        <v>8</v>
      </c>
      <c r="J113" s="2" t="inlineStr">
        <is>
          <t>Riserva</t>
        </is>
      </c>
      <c r="K113" s="2" t="n">
        <v>64</v>
      </c>
      <c r="L113" s="2" t="n">
        <v>6.15</v>
      </c>
      <c r="M113" s="2" t="n">
        <v>0</v>
      </c>
      <c r="N113" s="2" t="inlineStr">
        <is>
          <t>P</t>
        </is>
      </c>
      <c r="O113" s="2" t="n">
        <v>1</v>
      </c>
      <c r="P113" s="2" t="inlineStr">
        <is>
          <t>🔴 Infortunato/Dubbio</t>
        </is>
      </c>
    </row>
    <row r="114">
      <c r="A114" s="2" t="inlineStr">
        <is>
          <t>Idzes</t>
        </is>
      </c>
      <c r="B114" s="2" t="inlineStr">
        <is>
          <t>Sassuolo</t>
        </is>
      </c>
      <c r="C114" s="2" t="inlineStr">
        <is>
          <t>D</t>
        </is>
      </c>
      <c r="D114" s="2" t="inlineStr">
        <is>
          <t>Dc</t>
        </is>
      </c>
      <c r="E114" s="2" t="n">
        <v>7</v>
      </c>
      <c r="F114" s="2" t="n">
        <v>19</v>
      </c>
      <c r="G114" s="2" t="n">
        <v>1.95</v>
      </c>
      <c r="H114" s="2" t="n">
        <v>0.5</v>
      </c>
      <c r="I114" s="2" t="n">
        <v>8</v>
      </c>
      <c r="J114" s="2" t="inlineStr">
        <is>
          <t>TitLowCost</t>
        </is>
      </c>
      <c r="K114" s="2" t="n">
        <v>92</v>
      </c>
      <c r="L114" s="2" t="n">
        <v>6.05</v>
      </c>
      <c r="M114" s="2" t="n">
        <v>0</v>
      </c>
      <c r="N114" s="2" t="inlineStr">
        <is>
          <t>T</t>
        </is>
      </c>
      <c r="O114" s="2" t="n">
        <v>2</v>
      </c>
      <c r="P114" s="2" t="inlineStr">
        <is>
          <t>Normale</t>
        </is>
      </c>
    </row>
    <row r="115">
      <c r="A115" s="2" t="inlineStr">
        <is>
          <t>Ismajli</t>
        </is>
      </c>
      <c r="B115" s="2" t="inlineStr">
        <is>
          <t>Torino</t>
        </is>
      </c>
      <c r="C115" s="2" t="inlineStr">
        <is>
          <t>D</t>
        </is>
      </c>
      <c r="D115" s="2" t="inlineStr">
        <is>
          <t>Dc</t>
        </is>
      </c>
      <c r="E115" s="2" t="n">
        <v>7</v>
      </c>
      <c r="F115" s="2" t="n">
        <v>13</v>
      </c>
      <c r="G115" s="2" t="n">
        <v>1.15</v>
      </c>
      <c r="H115" s="2" t="n">
        <v>0.5</v>
      </c>
      <c r="I115" s="2" t="n">
        <v>8</v>
      </c>
      <c r="J115" s="2" t="inlineStr">
        <is>
          <t>Riserva</t>
        </is>
      </c>
      <c r="K115" s="2" t="n">
        <v>64</v>
      </c>
      <c r="L115" s="2" t="n">
        <v>5.91</v>
      </c>
      <c r="M115" s="2" t="n">
        <v>0</v>
      </c>
      <c r="N115" s="2" t="inlineStr">
        <is>
          <t>P</t>
        </is>
      </c>
      <c r="O115" s="2" t="n">
        <v>1</v>
      </c>
      <c r="P115" s="2" t="inlineStr">
        <is>
          <t>🪑 Riserva Fissa (da fasciaFc)</t>
        </is>
      </c>
    </row>
    <row r="116">
      <c r="A116" s="2" t="inlineStr">
        <is>
          <t>Jimenez A.</t>
        </is>
      </c>
      <c r="B116" s="2" t="inlineStr">
        <is>
          <t>Fiorentina</t>
        </is>
      </c>
      <c r="C116" s="2" t="inlineStr">
        <is>
          <t>D</t>
        </is>
      </c>
      <c r="D116" s="2" t="inlineStr">
        <is>
          <t>Dd/Ds/E</t>
        </is>
      </c>
      <c r="E116" s="2" t="n">
        <v>7</v>
      </c>
      <c r="F116" s="2" t="n">
        <v>18</v>
      </c>
      <c r="G116" s="2" t="n">
        <v>7.65</v>
      </c>
      <c r="H116" s="2" t="n">
        <v>9.449999999999999</v>
      </c>
      <c r="I116" s="2" t="n">
        <v>3</v>
      </c>
      <c r="J116" s="2" t="inlineStr">
        <is>
          <t>OttimoTit</t>
        </is>
      </c>
      <c r="K116" s="2" t="n">
        <v>92</v>
      </c>
      <c r="L116" s="2" t="n">
        <v>6.24</v>
      </c>
      <c r="M116" s="2" t="n">
        <v>0</v>
      </c>
      <c r="N116" s="2" t="inlineStr">
        <is>
          <t>T</t>
        </is>
      </c>
      <c r="O116" s="2" t="n">
        <v>7</v>
      </c>
      <c r="P116" s="2" t="inlineStr">
        <is>
          <t>Normale</t>
        </is>
      </c>
    </row>
    <row r="117">
      <c r="A117" s="2" t="inlineStr">
        <is>
          <t>Lucumì</t>
        </is>
      </c>
      <c r="B117" s="2" t="inlineStr">
        <is>
          <t>Juventus</t>
        </is>
      </c>
      <c r="C117" s="2" t="inlineStr">
        <is>
          <t>D</t>
        </is>
      </c>
      <c r="D117" s="2" t="inlineStr">
        <is>
          <t>Dc</t>
        </is>
      </c>
      <c r="E117" s="2" t="n">
        <v>7</v>
      </c>
      <c r="F117" s="2" t="n">
        <v>17</v>
      </c>
      <c r="G117" s="2" t="n">
        <v>8.85</v>
      </c>
      <c r="H117" s="2" t="n">
        <v>4</v>
      </c>
      <c r="I117" s="2" t="n">
        <v>5</v>
      </c>
      <c r="J117" s="2" t="inlineStr">
        <is>
          <t>OttimoTit</t>
        </is>
      </c>
      <c r="K117" s="2" t="n">
        <v>88</v>
      </c>
      <c r="L117" s="2" t="n">
        <v>6.18</v>
      </c>
      <c r="M117" s="2" t="n">
        <v>0</v>
      </c>
      <c r="N117" s="2" t="inlineStr">
        <is>
          <t>T</t>
        </is>
      </c>
      <c r="O117" s="2" t="n">
        <v>9</v>
      </c>
      <c r="P117" s="2" t="inlineStr">
        <is>
          <t>Normale</t>
        </is>
      </c>
    </row>
    <row r="118">
      <c r="A118" s="2" t="inlineStr">
        <is>
          <t>Mangas</t>
        </is>
      </c>
      <c r="B118" s="2" t="inlineStr">
        <is>
          <t>Monza</t>
        </is>
      </c>
      <c r="C118" s="2" t="inlineStr">
        <is>
          <t>D</t>
        </is>
      </c>
      <c r="D118" s="2" t="inlineStr">
        <is>
          <t>Ds/E</t>
        </is>
      </c>
      <c r="E118" s="2" t="n">
        <v>7</v>
      </c>
      <c r="F118" s="2" t="n">
        <v>15</v>
      </c>
      <c r="G118" s="2" t="n">
        <v>2.55</v>
      </c>
      <c r="H118" s="2" t="n">
        <v>0.5</v>
      </c>
      <c r="I118" s="2" t="n">
        <v>8</v>
      </c>
      <c r="J118" s="2" t="inlineStr">
        <is>
          <t>TitLowCost</t>
        </is>
      </c>
      <c r="K118" s="2" t="n">
        <v>92</v>
      </c>
      <c r="L118" s="2" t="n">
        <v>6.09</v>
      </c>
      <c r="M118" s="2" t="n">
        <v>0</v>
      </c>
      <c r="N118" s="2" t="inlineStr">
        <is>
          <t>T</t>
        </is>
      </c>
      <c r="O118" s="2" t="n">
        <v>2.5</v>
      </c>
      <c r="P118" s="2" t="inlineStr">
        <is>
          <t>Normale</t>
        </is>
      </c>
    </row>
    <row r="119">
      <c r="A119" s="2" t="inlineStr">
        <is>
          <t>Mina</t>
        </is>
      </c>
      <c r="B119" s="2" t="inlineStr">
        <is>
          <t>Cagliari</t>
        </is>
      </c>
      <c r="C119" s="2" t="inlineStr">
        <is>
          <t>D</t>
        </is>
      </c>
      <c r="D119" s="2" t="inlineStr">
        <is>
          <t>Dc</t>
        </is>
      </c>
      <c r="E119" s="2" t="n">
        <v>7</v>
      </c>
      <c r="F119" s="2" t="n">
        <v>20</v>
      </c>
      <c r="G119" s="2" t="n">
        <v>2.9</v>
      </c>
      <c r="H119" s="2" t="n">
        <v>0.65</v>
      </c>
      <c r="I119" s="2" t="n">
        <v>8</v>
      </c>
      <c r="J119" s="2" t="inlineStr">
        <is>
          <t>OttimoTit</t>
        </is>
      </c>
      <c r="K119" s="2" t="n">
        <v>84</v>
      </c>
      <c r="L119" s="2" t="n">
        <v>6.15</v>
      </c>
      <c r="M119" s="2" t="n">
        <v>20</v>
      </c>
      <c r="N119" s="2" t="inlineStr">
        <is>
          <t>T</t>
        </is>
      </c>
      <c r="O119" s="2" t="n">
        <v>2</v>
      </c>
      <c r="P119" s="2" t="inlineStr">
        <is>
          <t>🔴 Infortunato/Dubbio</t>
        </is>
      </c>
    </row>
    <row r="120">
      <c r="A120" s="2" t="inlineStr">
        <is>
          <t>Obert</t>
        </is>
      </c>
      <c r="B120" s="2" t="inlineStr">
        <is>
          <t>Cagliari</t>
        </is>
      </c>
      <c r="C120" s="2" t="inlineStr">
        <is>
          <t>D</t>
        </is>
      </c>
      <c r="D120" s="2" t="inlineStr">
        <is>
          <t>B/Ds/E</t>
        </is>
      </c>
      <c r="E120" s="2" t="n">
        <v>7</v>
      </c>
      <c r="F120" s="2" t="n">
        <v>15</v>
      </c>
      <c r="G120" s="2" t="n">
        <v>3.55</v>
      </c>
      <c r="H120" s="2" t="n">
        <v>0.5</v>
      </c>
      <c r="I120" s="2" t="n">
        <v>8</v>
      </c>
      <c r="J120" s="2" t="inlineStr">
        <is>
          <t>TitLowCost</t>
        </is>
      </c>
      <c r="K120" s="2" t="n">
        <v>86</v>
      </c>
      <c r="L120" s="2" t="n">
        <v>6.12</v>
      </c>
      <c r="M120" s="2" t="n">
        <v>0</v>
      </c>
      <c r="N120" s="2" t="inlineStr">
        <is>
          <t>T</t>
        </is>
      </c>
      <c r="O120" s="2" t="n">
        <v>3</v>
      </c>
      <c r="P120" s="2" t="inlineStr">
        <is>
          <t>Normale</t>
        </is>
      </c>
    </row>
    <row r="121">
      <c r="A121" s="2" t="inlineStr">
        <is>
          <t>Sutalo J.</t>
        </is>
      </c>
      <c r="B121" s="2" t="inlineStr">
        <is>
          <t>Lazio</t>
        </is>
      </c>
      <c r="C121" s="2" t="inlineStr">
        <is>
          <t>D</t>
        </is>
      </c>
      <c r="D121" s="2" t="inlineStr">
        <is>
          <t>Dc</t>
        </is>
      </c>
      <c r="E121" s="2" t="n">
        <v>7</v>
      </c>
      <c r="F121" s="2" t="n">
        <v>19</v>
      </c>
      <c r="G121" s="2" t="n">
        <v>1.95</v>
      </c>
      <c r="H121" s="2" t="n">
        <v>1</v>
      </c>
      <c r="I121" s="2" t="n">
        <v>7</v>
      </c>
      <c r="J121" s="2" t="inlineStr">
        <is>
          <t>OttimoTit</t>
        </is>
      </c>
      <c r="K121" s="2" t="n">
        <v>88</v>
      </c>
      <c r="L121" s="2" t="n">
        <v>6.13</v>
      </c>
      <c r="M121" s="2" t="n">
        <v>0</v>
      </c>
      <c r="N121" s="2" t="inlineStr">
        <is>
          <t>T</t>
        </is>
      </c>
      <c r="O121" s="2" t="n">
        <v>1</v>
      </c>
      <c r="P121" s="2" t="inlineStr">
        <is>
          <t>Normale</t>
        </is>
      </c>
    </row>
    <row r="122">
      <c r="A122" s="2" t="inlineStr">
        <is>
          <t>Tavares N.</t>
        </is>
      </c>
      <c r="B122" s="2" t="inlineStr">
        <is>
          <t>Lazio</t>
        </is>
      </c>
      <c r="C122" s="2" t="inlineStr">
        <is>
          <t>D</t>
        </is>
      </c>
      <c r="D122" s="2" t="inlineStr">
        <is>
          <t>Ds/E</t>
        </is>
      </c>
      <c r="E122" s="2" t="n">
        <v>7</v>
      </c>
      <c r="F122" s="2" t="n">
        <v>25</v>
      </c>
      <c r="G122" s="2" t="n">
        <v>7.7</v>
      </c>
      <c r="H122" s="2" t="n">
        <v>5.15</v>
      </c>
      <c r="I122" s="2" t="n">
        <v>4</v>
      </c>
      <c r="J122" s="2" t="inlineStr">
        <is>
          <t>OttimoTit</t>
        </is>
      </c>
      <c r="K122" s="2" t="n">
        <v>84</v>
      </c>
      <c r="L122" s="2" t="n">
        <v>6.23</v>
      </c>
      <c r="M122" s="2" t="n">
        <v>0</v>
      </c>
      <c r="N122" s="2" t="inlineStr">
        <is>
          <t>B</t>
        </is>
      </c>
      <c r="O122" s="2" t="n">
        <v>7</v>
      </c>
      <c r="P122" s="2" t="inlineStr">
        <is>
          <t>🟡 Ballottaggio</t>
        </is>
      </c>
    </row>
    <row r="123">
      <c r="A123" s="2" t="inlineStr">
        <is>
          <t>Zortea</t>
        </is>
      </c>
      <c r="B123" s="2" t="inlineStr">
        <is>
          <t>Bologna</t>
        </is>
      </c>
      <c r="C123" s="2" t="inlineStr">
        <is>
          <t>D</t>
        </is>
      </c>
      <c r="D123" s="2" t="inlineStr">
        <is>
          <t>Dd/E</t>
        </is>
      </c>
      <c r="E123" s="2" t="n">
        <v>7</v>
      </c>
      <c r="F123" s="2" t="n">
        <v>19</v>
      </c>
      <c r="G123" s="2" t="n">
        <v>2.35</v>
      </c>
      <c r="H123" s="2" t="n">
        <v>0.55</v>
      </c>
      <c r="I123" s="2" t="n">
        <v>8</v>
      </c>
      <c r="J123" s="2" t="inlineStr">
        <is>
          <t>TitLowCost</t>
        </is>
      </c>
      <c r="K123" s="2" t="n">
        <v>84</v>
      </c>
      <c r="L123" s="2" t="n">
        <v>6.15</v>
      </c>
      <c r="M123" s="2" t="n">
        <v>0</v>
      </c>
      <c r="N123" s="2" t="inlineStr">
        <is>
          <t>B</t>
        </is>
      </c>
      <c r="O123" s="2" t="n">
        <v>1.5</v>
      </c>
      <c r="P123" s="2" t="inlineStr">
        <is>
          <t>🟡 Ballottaggio</t>
        </is>
      </c>
    </row>
    <row r="124">
      <c r="A124" s="2" t="inlineStr">
        <is>
          <t>Balerdi</t>
        </is>
      </c>
      <c r="B124" s="2" t="inlineStr">
        <is>
          <t>Roma</t>
        </is>
      </c>
      <c r="C124" s="2" t="inlineStr">
        <is>
          <t>D</t>
        </is>
      </c>
      <c r="D124" s="2" t="inlineStr">
        <is>
          <t>Dc</t>
        </is>
      </c>
      <c r="E124" s="2" t="n">
        <v>6</v>
      </c>
      <c r="F124" s="2" t="n">
        <v>11</v>
      </c>
      <c r="G124" s="2" t="n">
        <v>1.35</v>
      </c>
      <c r="H124" s="2" t="n">
        <v>0.5</v>
      </c>
      <c r="I124" s="2" t="n">
        <v>8</v>
      </c>
      <c r="J124" s="2" t="inlineStr">
        <is>
          <t>Riserva</t>
        </is>
      </c>
      <c r="K124" s="2" t="n">
        <v>60</v>
      </c>
      <c r="L124" s="2" t="n">
        <v>5.96</v>
      </c>
      <c r="M124" s="2" t="n">
        <v>0</v>
      </c>
      <c r="N124" s="2" t="inlineStr">
        <is>
          <t>P</t>
        </is>
      </c>
      <c r="O124" s="2" t="n">
        <v>1</v>
      </c>
      <c r="P124" s="2" t="inlineStr">
        <is>
          <t>🪑 Riserva Fissa (da fasciaFc)</t>
        </is>
      </c>
    </row>
    <row r="125">
      <c r="A125" s="2" t="inlineStr">
        <is>
          <t>Bellanova</t>
        </is>
      </c>
      <c r="B125" s="2" t="inlineStr">
        <is>
          <t>Atalanta</t>
        </is>
      </c>
      <c r="C125" s="2" t="inlineStr">
        <is>
          <t>D</t>
        </is>
      </c>
      <c r="D125" s="2" t="inlineStr">
        <is>
          <t>Dd/E</t>
        </is>
      </c>
      <c r="E125" s="2" t="n">
        <v>6</v>
      </c>
      <c r="F125" s="2" t="n">
        <v>17</v>
      </c>
      <c r="G125" s="2" t="n">
        <v>3.35</v>
      </c>
      <c r="H125" s="2" t="n">
        <v>2.15</v>
      </c>
      <c r="I125" s="2" t="n">
        <v>6</v>
      </c>
      <c r="J125" s="2" t="inlineStr">
        <is>
          <t>OttimoTit</t>
        </is>
      </c>
      <c r="K125" s="2" t="n">
        <v>82</v>
      </c>
      <c r="L125" s="2" t="n">
        <v>6.2</v>
      </c>
      <c r="M125" s="2" t="n">
        <v>0</v>
      </c>
      <c r="N125" s="2" t="inlineStr">
        <is>
          <t>B</t>
        </is>
      </c>
      <c r="O125" s="2" t="n">
        <v>2.5</v>
      </c>
      <c r="P125" s="2" t="inlineStr">
        <is>
          <t>🟡 Ballottaggio</t>
        </is>
      </c>
    </row>
    <row r="126">
      <c r="A126" s="2" t="inlineStr">
        <is>
          <t>Bernasconi</t>
        </is>
      </c>
      <c r="B126" s="2" t="inlineStr">
        <is>
          <t>Atalanta</t>
        </is>
      </c>
      <c r="C126" s="2" t="inlineStr">
        <is>
          <t>D</t>
        </is>
      </c>
      <c r="D126" s="2" t="inlineStr">
        <is>
          <t>Ds/E</t>
        </is>
      </c>
      <c r="E126" s="2" t="n">
        <v>6</v>
      </c>
      <c r="F126" s="2" t="n">
        <v>18</v>
      </c>
      <c r="G126" s="2" t="n">
        <v>5.2</v>
      </c>
      <c r="H126" s="2" t="n">
        <v>6.75</v>
      </c>
      <c r="I126" s="2" t="n">
        <v>4</v>
      </c>
      <c r="J126" s="2" t="inlineStr">
        <is>
          <t>OttimoTit</t>
        </is>
      </c>
      <c r="K126" s="2" t="n">
        <v>88</v>
      </c>
      <c r="L126" s="2" t="n">
        <v>6.23</v>
      </c>
      <c r="M126" s="2" t="n">
        <v>0</v>
      </c>
      <c r="N126" s="2" t="inlineStr">
        <is>
          <t>T</t>
        </is>
      </c>
      <c r="O126" s="2" t="n">
        <v>4.5</v>
      </c>
      <c r="P126" s="2" t="inlineStr">
        <is>
          <t>Normale</t>
        </is>
      </c>
    </row>
    <row r="127">
      <c r="A127" s="2" t="inlineStr">
        <is>
          <t>Beukema</t>
        </is>
      </c>
      <c r="B127" s="2" t="inlineStr">
        <is>
          <t>Napoli</t>
        </is>
      </c>
      <c r="C127" s="2" t="inlineStr">
        <is>
          <t>D</t>
        </is>
      </c>
      <c r="D127" s="2" t="inlineStr">
        <is>
          <t>Dc</t>
        </is>
      </c>
      <c r="E127" s="2" t="n">
        <v>6</v>
      </c>
      <c r="F127" s="2" t="n">
        <v>12</v>
      </c>
      <c r="G127" s="2" t="n">
        <v>1.35</v>
      </c>
      <c r="H127" s="2" t="n">
        <v>0.5</v>
      </c>
      <c r="I127" s="2" t="n">
        <v>8</v>
      </c>
      <c r="J127" s="2" t="inlineStr">
        <is>
          <t>Riserva</t>
        </is>
      </c>
      <c r="K127" s="2" t="n">
        <v>60</v>
      </c>
      <c r="L127" s="2" t="n">
        <v>6</v>
      </c>
      <c r="M127" s="2" t="n">
        <v>0</v>
      </c>
      <c r="N127" s="2" t="inlineStr">
        <is>
          <t>P</t>
        </is>
      </c>
      <c r="O127" s="2" t="n">
        <v>1</v>
      </c>
      <c r="P127" s="2" t="inlineStr">
        <is>
          <t>🪑 Riserva Fissa (da fasciaFc)</t>
        </is>
      </c>
    </row>
    <row r="128">
      <c r="A128" s="2" t="inlineStr">
        <is>
          <t>Buongiorno</t>
        </is>
      </c>
      <c r="B128" s="2" t="inlineStr">
        <is>
          <t>Napoli</t>
        </is>
      </c>
      <c r="C128" s="2" t="inlineStr">
        <is>
          <t>D</t>
        </is>
      </c>
      <c r="D128" s="2" t="inlineStr">
        <is>
          <t>Dc</t>
        </is>
      </c>
      <c r="E128" s="2" t="n">
        <v>6</v>
      </c>
      <c r="F128" s="2" t="n">
        <v>15</v>
      </c>
      <c r="G128" s="2" t="n">
        <v>1.85</v>
      </c>
      <c r="H128" s="2" t="n">
        <v>0.5</v>
      </c>
      <c r="I128" s="2" t="n">
        <v>8</v>
      </c>
      <c r="J128" s="2" t="inlineStr">
        <is>
          <t>Jolly</t>
        </is>
      </c>
      <c r="K128" s="2" t="n">
        <v>74</v>
      </c>
      <c r="L128" s="2" t="n">
        <v>6.23</v>
      </c>
      <c r="M128" s="2" t="n">
        <v>0</v>
      </c>
      <c r="N128" s="2" t="inlineStr">
        <is>
          <t>T</t>
        </is>
      </c>
      <c r="O128" s="2" t="n">
        <v>1</v>
      </c>
      <c r="P128" s="2" t="inlineStr">
        <is>
          <t>🔴 Infortunato/Dubbio</t>
        </is>
      </c>
    </row>
    <row r="129">
      <c r="A129" s="2" t="inlineStr">
        <is>
          <t>Caleta-Car</t>
        </is>
      </c>
      <c r="B129" s="2" t="inlineStr">
        <is>
          <t>Sassuolo</t>
        </is>
      </c>
      <c r="C129" s="2" t="inlineStr">
        <is>
          <t>D</t>
        </is>
      </c>
      <c r="D129" s="2" t="inlineStr">
        <is>
          <t>Dc</t>
        </is>
      </c>
      <c r="E129" s="2" t="n">
        <v>6</v>
      </c>
      <c r="F129" s="2" t="n">
        <v>15</v>
      </c>
      <c r="G129" s="2" t="n">
        <v>1.05</v>
      </c>
      <c r="H129" s="2" t="n">
        <v>0.5</v>
      </c>
      <c r="I129" s="2" t="n">
        <v>8</v>
      </c>
      <c r="J129" s="2" t="inlineStr">
        <is>
          <t>TitLowCost</t>
        </is>
      </c>
      <c r="K129" s="2" t="n">
        <v>86</v>
      </c>
      <c r="L129" s="2" t="n">
        <v>6.03</v>
      </c>
      <c r="M129" s="2" t="n">
        <v>0</v>
      </c>
      <c r="N129" s="2" t="inlineStr">
        <is>
          <t>B</t>
        </is>
      </c>
      <c r="O129" s="2" t="n">
        <v>1</v>
      </c>
      <c r="P129" s="2" t="inlineStr">
        <is>
          <t>🟡 Ballottaggio</t>
        </is>
      </c>
    </row>
    <row r="130">
      <c r="A130" s="2" t="inlineStr">
        <is>
          <t>Carlos Augusto</t>
        </is>
      </c>
      <c r="B130" s="2" t="inlineStr">
        <is>
          <t>Inter</t>
        </is>
      </c>
      <c r="C130" s="2" t="inlineStr">
        <is>
          <t>D</t>
        </is>
      </c>
      <c r="D130" s="2" t="inlineStr">
        <is>
          <t>B/Ds/E</t>
        </is>
      </c>
      <c r="E130" s="2" t="n">
        <v>6</v>
      </c>
      <c r="F130" s="2" t="n">
        <v>20</v>
      </c>
      <c r="G130" s="2" t="n">
        <v>3.5</v>
      </c>
      <c r="H130" s="2" t="n">
        <v>3.45</v>
      </c>
      <c r="I130" s="2" t="n">
        <v>6</v>
      </c>
      <c r="J130" s="2" t="inlineStr">
        <is>
          <t>OttimoTit</t>
        </is>
      </c>
      <c r="K130" s="2" t="n">
        <v>80</v>
      </c>
      <c r="L130" s="2" t="n">
        <v>6.24</v>
      </c>
      <c r="M130" s="2" t="n">
        <v>0</v>
      </c>
      <c r="N130" s="2" t="inlineStr">
        <is>
          <t>P</t>
        </is>
      </c>
      <c r="O130" s="2" t="n">
        <v>3</v>
      </c>
      <c r="P130" s="2" t="inlineStr">
        <is>
          <t>Normale</t>
        </is>
      </c>
    </row>
    <row r="131">
      <c r="A131" s="2" t="inlineStr">
        <is>
          <t>Fortini</t>
        </is>
      </c>
      <c r="B131" s="2" t="inlineStr">
        <is>
          <t>Torino</t>
        </is>
      </c>
      <c r="C131" s="2" t="inlineStr">
        <is>
          <t>D</t>
        </is>
      </c>
      <c r="D131" s="2" t="inlineStr">
        <is>
          <t>E</t>
        </is>
      </c>
      <c r="E131" s="2" t="n">
        <v>6</v>
      </c>
      <c r="F131" s="2" t="n">
        <v>12</v>
      </c>
      <c r="G131" s="2" t="n">
        <v>1.15</v>
      </c>
      <c r="H131" s="2" t="n">
        <v>0.5</v>
      </c>
      <c r="I131" s="2" t="n">
        <v>8</v>
      </c>
      <c r="J131" s="2" t="inlineStr">
        <is>
          <t>Jolly</t>
        </is>
      </c>
      <c r="K131" s="2" t="n">
        <v>75</v>
      </c>
      <c r="L131" s="2" t="n">
        <v>6.12</v>
      </c>
      <c r="M131" s="2" t="n">
        <v>0</v>
      </c>
      <c r="N131" s="2" t="inlineStr">
        <is>
          <t>P</t>
        </is>
      </c>
      <c r="O131" s="2" t="n">
        <v>1</v>
      </c>
      <c r="P131" s="2" t="inlineStr">
        <is>
          <t>Normale</t>
        </is>
      </c>
    </row>
    <row r="132">
      <c r="A132" s="2" t="inlineStr">
        <is>
          <t>Gallo</t>
        </is>
      </c>
      <c r="B132" s="2" t="inlineStr">
        <is>
          <t>Lecce</t>
        </is>
      </c>
      <c r="C132" s="2" t="inlineStr">
        <is>
          <t>D</t>
        </is>
      </c>
      <c r="D132" s="2" t="inlineStr">
        <is>
          <t>Ds/E</t>
        </is>
      </c>
      <c r="E132" s="2" t="n">
        <v>6</v>
      </c>
      <c r="F132" s="2" t="n">
        <v>12</v>
      </c>
      <c r="G132" s="2" t="n">
        <v>1.55</v>
      </c>
      <c r="H132" s="2" t="n">
        <v>0.5</v>
      </c>
      <c r="I132" s="2" t="n">
        <v>8</v>
      </c>
      <c r="J132" s="2" t="inlineStr">
        <is>
          <t>TitLowCost</t>
        </is>
      </c>
      <c r="K132" s="2" t="n">
        <v>88</v>
      </c>
      <c r="L132" s="2" t="n">
        <v>6.06</v>
      </c>
      <c r="M132" s="2" t="n">
        <v>0</v>
      </c>
      <c r="N132" s="2" t="inlineStr">
        <is>
          <t>B</t>
        </is>
      </c>
      <c r="O132" s="2" t="n">
        <v>1</v>
      </c>
      <c r="P132" s="2" t="inlineStr">
        <is>
          <t>🟡 Ballottaggio</t>
        </is>
      </c>
    </row>
    <row r="133">
      <c r="A133" s="2" t="inlineStr">
        <is>
          <t>Heggem</t>
        </is>
      </c>
      <c r="B133" s="2" t="inlineStr">
        <is>
          <t>Bologna</t>
        </is>
      </c>
      <c r="C133" s="2" t="inlineStr">
        <is>
          <t>D</t>
        </is>
      </c>
      <c r="D133" s="2" t="inlineStr">
        <is>
          <t>Ds/Dc</t>
        </is>
      </c>
      <c r="E133" s="2" t="n">
        <v>6</v>
      </c>
      <c r="F133" s="2" t="n">
        <v>15</v>
      </c>
      <c r="G133" s="2" t="n">
        <v>2.75</v>
      </c>
      <c r="H133" s="2" t="n">
        <v>1.8</v>
      </c>
      <c r="I133" s="2" t="n">
        <v>7</v>
      </c>
      <c r="J133" s="2" t="inlineStr">
        <is>
          <t>OttimoTit</t>
        </is>
      </c>
      <c r="K133" s="2" t="n">
        <v>88</v>
      </c>
      <c r="L133" s="2" t="n">
        <v>6.14</v>
      </c>
      <c r="M133" s="2" t="n">
        <v>0</v>
      </c>
      <c r="N133" s="2" t="inlineStr">
        <is>
          <t>T</t>
        </is>
      </c>
      <c r="O133" s="2" t="n">
        <v>2</v>
      </c>
      <c r="P133" s="2" t="inlineStr">
        <is>
          <t>Normale</t>
        </is>
      </c>
    </row>
    <row r="134">
      <c r="A134" s="2" t="inlineStr">
        <is>
          <t>Holm</t>
        </is>
      </c>
      <c r="B134" s="2" t="inlineStr">
        <is>
          <t>Bologna</t>
        </is>
      </c>
      <c r="C134" s="2" t="inlineStr">
        <is>
          <t>D</t>
        </is>
      </c>
      <c r="D134" s="2" t="inlineStr">
        <is>
          <t>Dd/E</t>
        </is>
      </c>
      <c r="E134" s="2" t="n">
        <v>6</v>
      </c>
      <c r="F134" s="2" t="n">
        <v>13</v>
      </c>
      <c r="G134" s="2" t="n">
        <v>1.55</v>
      </c>
      <c r="H134" s="2" t="n">
        <v>3.45</v>
      </c>
      <c r="I134" s="2" t="n">
        <v>6</v>
      </c>
      <c r="J134" s="2" t="inlineStr">
        <is>
          <t>OttimoTit</t>
        </is>
      </c>
      <c r="K134" s="2" t="n">
        <v>88</v>
      </c>
      <c r="L134" s="2" t="n">
        <v>6.17</v>
      </c>
      <c r="M134" s="2" t="n">
        <v>0</v>
      </c>
      <c r="N134" s="2" t="inlineStr">
        <is>
          <t>B</t>
        </is>
      </c>
      <c r="O134" s="2" t="n">
        <v>1</v>
      </c>
      <c r="P134" s="2" t="inlineStr">
        <is>
          <t>🟡 Ballottaggio</t>
        </is>
      </c>
    </row>
    <row r="135">
      <c r="A135" s="2" t="inlineStr">
        <is>
          <t>Kaiki</t>
        </is>
      </c>
      <c r="B135" s="2" t="inlineStr">
        <is>
          <t>Como</t>
        </is>
      </c>
      <c r="C135" s="2" t="inlineStr">
        <is>
          <t>D</t>
        </is>
      </c>
      <c r="D135" s="2" t="inlineStr">
        <is>
          <t>Ds/E</t>
        </is>
      </c>
      <c r="E135" s="2" t="n">
        <v>6</v>
      </c>
      <c r="F135" s="2" t="n">
        <v>13</v>
      </c>
      <c r="G135" s="2" t="n">
        <v>2.35</v>
      </c>
      <c r="H135" s="2" t="n">
        <v>3.95</v>
      </c>
      <c r="I135" s="2" t="n">
        <v>5</v>
      </c>
      <c r="J135" s="2" t="inlineStr">
        <is>
          <t>OttimoTit</t>
        </is>
      </c>
      <c r="K135" s="2" t="n">
        <v>88</v>
      </c>
      <c r="L135" s="2" t="n">
        <v>6.18</v>
      </c>
      <c r="M135" s="2" t="n">
        <v>0</v>
      </c>
      <c r="N135" s="2" t="inlineStr">
        <is>
          <t>B</t>
        </is>
      </c>
      <c r="O135" s="2" t="n">
        <v>1</v>
      </c>
      <c r="P135" s="2" t="inlineStr">
        <is>
          <t>🟡 Ballottaggio</t>
        </is>
      </c>
    </row>
    <row r="136">
      <c r="A136" s="2" t="inlineStr">
        <is>
          <t>Kolasinac</t>
        </is>
      </c>
      <c r="B136" s="2" t="inlineStr">
        <is>
          <t>Atalanta</t>
        </is>
      </c>
      <c r="C136" s="2" t="inlineStr">
        <is>
          <t>D</t>
        </is>
      </c>
      <c r="D136" s="2" t="inlineStr">
        <is>
          <t>Ds/Dc</t>
        </is>
      </c>
      <c r="E136" s="2" t="n">
        <v>6</v>
      </c>
      <c r="F136" s="2" t="n">
        <v>8</v>
      </c>
      <c r="G136" s="2" t="n">
        <v>1.75</v>
      </c>
      <c r="H136" s="2" t="n">
        <v>0.5</v>
      </c>
      <c r="I136" s="2" t="n">
        <v>8</v>
      </c>
      <c r="J136" s="2" t="inlineStr">
        <is>
          <t>TitLowCost</t>
        </is>
      </c>
      <c r="K136" s="2" t="n">
        <v>76</v>
      </c>
      <c r="L136" s="2" t="n">
        <v>6.2</v>
      </c>
      <c r="M136" s="2" t="n">
        <v>0</v>
      </c>
      <c r="N136" s="2" t="inlineStr">
        <is>
          <t>P</t>
        </is>
      </c>
      <c r="O136" s="2" t="n">
        <v>1</v>
      </c>
      <c r="P136" s="2" t="inlineStr">
        <is>
          <t>Normale</t>
        </is>
      </c>
    </row>
    <row r="137">
      <c r="A137" s="2" t="inlineStr">
        <is>
          <t>Kristensen T.</t>
        </is>
      </c>
      <c r="B137" s="2" t="inlineStr">
        <is>
          <t>Atalanta</t>
        </is>
      </c>
      <c r="C137" s="2" t="inlineStr">
        <is>
          <t>D</t>
        </is>
      </c>
      <c r="D137" s="2" t="inlineStr">
        <is>
          <t>Dd/Dc</t>
        </is>
      </c>
      <c r="E137" s="2" t="n">
        <v>6</v>
      </c>
      <c r="F137" s="2" t="n">
        <v>20</v>
      </c>
      <c r="G137" s="2" t="n">
        <v>6</v>
      </c>
      <c r="H137" s="2" t="n">
        <v>3.95</v>
      </c>
      <c r="I137" s="2" t="n">
        <v>5</v>
      </c>
      <c r="J137" s="2" t="inlineStr">
        <is>
          <t>OttimoTit</t>
        </is>
      </c>
      <c r="K137" s="2" t="n">
        <v>84</v>
      </c>
      <c r="L137" s="2" t="n">
        <v>6.21</v>
      </c>
      <c r="M137" s="2" t="n">
        <v>0</v>
      </c>
      <c r="N137" s="2" t="inlineStr">
        <is>
          <t>T</t>
        </is>
      </c>
      <c r="O137" s="2" t="n">
        <v>6</v>
      </c>
      <c r="P137" s="2" t="inlineStr">
        <is>
          <t>🔴 Infortunato/Dubbio</t>
        </is>
      </c>
    </row>
    <row r="138">
      <c r="A138" s="2" t="inlineStr">
        <is>
          <t>Leysen F.</t>
        </is>
      </c>
      <c r="B138" s="2" t="inlineStr">
        <is>
          <t>Sassuolo</t>
        </is>
      </c>
      <c r="C138" s="2" t="inlineStr">
        <is>
          <t>D</t>
        </is>
      </c>
      <c r="D138" s="2" t="inlineStr">
        <is>
          <t>Ds/Dc</t>
        </is>
      </c>
      <c r="E138" s="2" t="n">
        <v>6</v>
      </c>
      <c r="F138" s="2" t="n">
        <v>12</v>
      </c>
      <c r="G138" s="2" t="n">
        <v>1.3</v>
      </c>
      <c r="H138" s="2" t="n">
        <v>1.5</v>
      </c>
      <c r="I138" s="2" t="n">
        <v>7</v>
      </c>
      <c r="J138" s="2" t="inlineStr">
        <is>
          <t>OttimoTit</t>
        </is>
      </c>
      <c r="K138" s="2" t="n">
        <v>88</v>
      </c>
      <c r="L138" s="2" t="n">
        <v>6.14</v>
      </c>
      <c r="M138" s="2" t="n">
        <v>0</v>
      </c>
      <c r="N138" s="2" t="inlineStr">
        <is>
          <t>B</t>
        </is>
      </c>
      <c r="O138" s="2" t="n">
        <v>1</v>
      </c>
      <c r="P138" s="2" t="inlineStr">
        <is>
          <t>🟡 Ballottaggio</t>
        </is>
      </c>
    </row>
    <row r="139">
      <c r="A139" s="2" t="inlineStr">
        <is>
          <t>Marcandalli</t>
        </is>
      </c>
      <c r="B139" s="2" t="inlineStr">
        <is>
          <t>Genoa</t>
        </is>
      </c>
      <c r="C139" s="2" t="inlineStr">
        <is>
          <t>D</t>
        </is>
      </c>
      <c r="D139" s="2" t="inlineStr">
        <is>
          <t>Dc</t>
        </is>
      </c>
      <c r="E139" s="2" t="n">
        <v>6</v>
      </c>
      <c r="F139" s="2" t="n">
        <v>14</v>
      </c>
      <c r="G139" s="2" t="n">
        <v>2.4</v>
      </c>
      <c r="H139" s="2" t="n">
        <v>0.6</v>
      </c>
      <c r="I139" s="2" t="n">
        <v>8</v>
      </c>
      <c r="J139" s="2" t="inlineStr">
        <is>
          <t>OttimoTit</t>
        </is>
      </c>
      <c r="K139" s="2" t="n">
        <v>92</v>
      </c>
      <c r="L139" s="2" t="n">
        <v>6.1</v>
      </c>
      <c r="M139" s="2" t="n">
        <v>0</v>
      </c>
      <c r="N139" s="2" t="inlineStr">
        <is>
          <t>T</t>
        </is>
      </c>
      <c r="O139" s="2" t="n">
        <v>2</v>
      </c>
      <c r="P139" s="2" t="inlineStr">
        <is>
          <t>Normale</t>
        </is>
      </c>
    </row>
    <row r="140">
      <c r="A140" s="2" t="inlineStr">
        <is>
          <t>Marusic</t>
        </is>
      </c>
      <c r="B140" s="2" t="inlineStr">
        <is>
          <t>Lazio</t>
        </is>
      </c>
      <c r="C140" s="2" t="inlineStr">
        <is>
          <t>D</t>
        </is>
      </c>
      <c r="D140" s="2" t="inlineStr">
        <is>
          <t>Dd/Ds/E</t>
        </is>
      </c>
      <c r="E140" s="2" t="n">
        <v>6</v>
      </c>
      <c r="F140" s="2" t="n">
        <v>20</v>
      </c>
      <c r="G140" s="2" t="n">
        <v>1.9</v>
      </c>
      <c r="H140" s="2" t="n">
        <v>0.5</v>
      </c>
      <c r="I140" s="2" t="n">
        <v>8</v>
      </c>
      <c r="J140" s="2" t="inlineStr">
        <is>
          <t>TitLowCost</t>
        </is>
      </c>
      <c r="K140" s="2" t="n">
        <v>79</v>
      </c>
      <c r="L140" s="2" t="n">
        <v>6.1</v>
      </c>
      <c r="M140" s="2" t="n">
        <v>0</v>
      </c>
      <c r="N140" s="2" t="inlineStr">
        <is>
          <t>T</t>
        </is>
      </c>
      <c r="O140" s="2" t="n">
        <v>1</v>
      </c>
      <c r="P140" s="2" t="inlineStr">
        <is>
          <t>🔴 Infortunato/Dubbio</t>
        </is>
      </c>
    </row>
    <row r="141">
      <c r="A141" s="2" t="inlineStr">
        <is>
          <t>Monterisi</t>
        </is>
      </c>
      <c r="B141" s="2" t="inlineStr">
        <is>
          <t>Frosinone</t>
        </is>
      </c>
      <c r="C141" s="2" t="inlineStr">
        <is>
          <t>D</t>
        </is>
      </c>
      <c r="D141" s="2" t="inlineStr">
        <is>
          <t>Dc</t>
        </is>
      </c>
      <c r="E141" s="2" t="n">
        <v>6</v>
      </c>
      <c r="F141" s="2" t="n">
        <v>13</v>
      </c>
      <c r="G141" s="2" t="n">
        <v>1.45</v>
      </c>
      <c r="H141" s="2" t="n">
        <v>0.5</v>
      </c>
      <c r="I141" s="2" t="n">
        <v>8</v>
      </c>
      <c r="J141" s="2" t="inlineStr">
        <is>
          <t>TitLowCost</t>
        </is>
      </c>
      <c r="K141" s="2" t="n">
        <v>92</v>
      </c>
      <c r="L141" s="2" t="n">
        <v>5.83</v>
      </c>
      <c r="M141" s="2" t="n">
        <v>0</v>
      </c>
      <c r="N141" s="2" t="inlineStr">
        <is>
          <t>T</t>
        </is>
      </c>
      <c r="O141" s="2" t="n">
        <v>1</v>
      </c>
      <c r="P141" s="2" t="inlineStr">
        <is>
          <t>Normale</t>
        </is>
      </c>
    </row>
    <row r="142">
      <c r="A142" s="2" t="inlineStr">
        <is>
          <t>Obrador</t>
        </is>
      </c>
      <c r="B142" s="2" t="inlineStr">
        <is>
          <t>Sassuolo</t>
        </is>
      </c>
      <c r="C142" s="2" t="inlineStr">
        <is>
          <t>D</t>
        </is>
      </c>
      <c r="D142" s="2" t="inlineStr">
        <is>
          <t>Ds/E</t>
        </is>
      </c>
      <c r="E142" s="2" t="n">
        <v>6</v>
      </c>
      <c r="F142" s="2" t="n">
        <v>13</v>
      </c>
      <c r="G142" s="2" t="n">
        <v>1.55</v>
      </c>
      <c r="H142" s="2" t="n">
        <v>1</v>
      </c>
      <c r="I142" s="2" t="n">
        <v>7</v>
      </c>
      <c r="J142" s="2" t="inlineStr">
        <is>
          <t>OttimoTit</t>
        </is>
      </c>
      <c r="K142" s="2" t="n">
        <v>86</v>
      </c>
      <c r="L142" s="2" t="n">
        <v>6.15</v>
      </c>
      <c r="M142" s="2" t="n">
        <v>0</v>
      </c>
      <c r="N142" s="2" t="inlineStr">
        <is>
          <t>B</t>
        </is>
      </c>
      <c r="O142" s="2" t="n">
        <v>1</v>
      </c>
      <c r="P142" s="2" t="inlineStr">
        <is>
          <t>🟡 Ballottaggio</t>
        </is>
      </c>
    </row>
    <row r="143">
      <c r="A143" s="2" t="inlineStr">
        <is>
          <t>Oyono A.</t>
        </is>
      </c>
      <c r="B143" s="2" t="inlineStr">
        <is>
          <t>Frosinone</t>
        </is>
      </c>
      <c r="C143" s="2" t="inlineStr">
        <is>
          <t>D</t>
        </is>
      </c>
      <c r="D143" s="2" t="inlineStr">
        <is>
          <t>Dd/E</t>
        </is>
      </c>
      <c r="E143" s="2" t="n">
        <v>6</v>
      </c>
      <c r="F143" s="2" t="n">
        <v>10</v>
      </c>
      <c r="G143" s="2" t="n">
        <v>1.2</v>
      </c>
      <c r="H143" s="2" t="n">
        <v>0.5</v>
      </c>
      <c r="I143" s="2" t="n">
        <v>8</v>
      </c>
      <c r="J143" s="2" t="inlineStr">
        <is>
          <t>TitLowCost</t>
        </is>
      </c>
      <c r="K143" s="2" t="n">
        <v>88</v>
      </c>
      <c r="L143" s="2" t="n">
        <v>5.88</v>
      </c>
      <c r="M143" s="2" t="n">
        <v>0</v>
      </c>
      <c r="N143" s="2" t="inlineStr">
        <is>
          <t>B</t>
        </is>
      </c>
      <c r="O143" s="2" t="n">
        <v>1</v>
      </c>
      <c r="P143" s="2" t="inlineStr">
        <is>
          <t>🟡 Ballottaggio</t>
        </is>
      </c>
    </row>
    <row r="144">
      <c r="A144" s="2" t="inlineStr">
        <is>
          <t>Pavard</t>
        </is>
      </c>
      <c r="B144" s="2" t="inlineStr">
        <is>
          <t>Inter</t>
        </is>
      </c>
      <c r="C144" s="2" t="inlineStr">
        <is>
          <t>D</t>
        </is>
      </c>
      <c r="D144" s="2" t="inlineStr">
        <is>
          <t>Dd/Dc</t>
        </is>
      </c>
      <c r="E144" s="2" t="n">
        <v>6</v>
      </c>
      <c r="F144" s="2" t="n">
        <v>14</v>
      </c>
      <c r="G144" s="2" t="n">
        <v>2.75</v>
      </c>
      <c r="H144" s="2" t="n">
        <v>0.5</v>
      </c>
      <c r="I144" s="2" t="n">
        <v>8</v>
      </c>
      <c r="J144" s="2" t="inlineStr">
        <is>
          <t>Riserva</t>
        </is>
      </c>
      <c r="K144" s="2" t="n">
        <v>60</v>
      </c>
      <c r="L144" s="2" t="n">
        <v>6.02</v>
      </c>
      <c r="M144" s="2" t="n">
        <v>0</v>
      </c>
      <c r="N144" s="2" t="inlineStr">
        <is>
          <t>P</t>
        </is>
      </c>
      <c r="O144" s="2" t="n">
        <v>1.5</v>
      </c>
      <c r="P144" s="2" t="inlineStr">
        <is>
          <t>🪑 Riserva Fissa (da fasciaFc)</t>
        </is>
      </c>
    </row>
    <row r="145">
      <c r="A145" s="2" t="inlineStr">
        <is>
          <t>Pedraza</t>
        </is>
      </c>
      <c r="B145" s="2" t="inlineStr">
        <is>
          <t>Lazio</t>
        </is>
      </c>
      <c r="C145" s="2" t="inlineStr">
        <is>
          <t>D</t>
        </is>
      </c>
      <c r="D145" s="2" t="inlineStr">
        <is>
          <t>Ds/E</t>
        </is>
      </c>
      <c r="E145" s="2" t="n">
        <v>6</v>
      </c>
      <c r="F145" s="2" t="n">
        <v>14</v>
      </c>
      <c r="G145" s="2" t="n">
        <v>1.4</v>
      </c>
      <c r="H145" s="2" t="n">
        <v>0.55</v>
      </c>
      <c r="I145" s="2" t="n">
        <v>8</v>
      </c>
      <c r="J145" s="2" t="inlineStr">
        <is>
          <t>TitLowCost</t>
        </is>
      </c>
      <c r="K145" s="2" t="n">
        <v>88</v>
      </c>
      <c r="L145" s="2" t="n">
        <v>6.12</v>
      </c>
      <c r="M145" s="2" t="n">
        <v>0</v>
      </c>
      <c r="N145" s="2" t="inlineStr">
        <is>
          <t>B</t>
        </is>
      </c>
      <c r="O145" s="2" t="n">
        <v>1</v>
      </c>
      <c r="P145" s="2" t="inlineStr">
        <is>
          <t>🟡 Ballottaggio</t>
        </is>
      </c>
    </row>
    <row r="146">
      <c r="A146" s="2" t="inlineStr">
        <is>
          <t>Sugawara</t>
        </is>
      </c>
      <c r="B146" s="2" t="inlineStr">
        <is>
          <t>Cagliari</t>
        </is>
      </c>
      <c r="C146" s="2" t="inlineStr">
        <is>
          <t>D</t>
        </is>
      </c>
      <c r="D146" s="2" t="inlineStr">
        <is>
          <t>Dd/E</t>
        </is>
      </c>
      <c r="E146" s="2" t="n">
        <v>6</v>
      </c>
      <c r="F146" s="2" t="n">
        <v>15</v>
      </c>
      <c r="G146" s="2" t="n">
        <v>1.3</v>
      </c>
      <c r="H146" s="2" t="n">
        <v>0.5</v>
      </c>
      <c r="I146" s="2" t="n">
        <v>8</v>
      </c>
      <c r="J146" s="2" t="inlineStr">
        <is>
          <t>Riserva</t>
        </is>
      </c>
      <c r="K146" s="2" t="n">
        <v>64</v>
      </c>
      <c r="L146" s="2" t="n">
        <v>6.04</v>
      </c>
      <c r="M146" s="2" t="n">
        <v>0</v>
      </c>
      <c r="N146" s="2" t="inlineStr">
        <is>
          <t>P</t>
        </is>
      </c>
      <c r="O146" s="2" t="n">
        <v>1</v>
      </c>
      <c r="P146" s="2" t="inlineStr">
        <is>
          <t>🪑 Riserva Fissa (da fasciaFc)</t>
        </is>
      </c>
    </row>
    <row r="147">
      <c r="A147" s="2" t="inlineStr">
        <is>
          <t>Tomori</t>
        </is>
      </c>
      <c r="B147" s="2" t="inlineStr">
        <is>
          <t>Milan</t>
        </is>
      </c>
      <c r="C147" s="2" t="inlineStr">
        <is>
          <t>D</t>
        </is>
      </c>
      <c r="D147" s="2" t="inlineStr">
        <is>
          <t>Dc</t>
        </is>
      </c>
      <c r="E147" s="2" t="n">
        <v>6</v>
      </c>
      <c r="F147" s="2" t="n">
        <v>8</v>
      </c>
      <c r="G147" s="2" t="n">
        <v>1.05</v>
      </c>
      <c r="H147" s="2" t="n">
        <v>0.5</v>
      </c>
      <c r="I147" s="2" t="n">
        <v>8</v>
      </c>
      <c r="J147" s="2" t="inlineStr">
        <is>
          <t>Riserva</t>
        </is>
      </c>
      <c r="K147" s="2" t="n">
        <v>52</v>
      </c>
      <c r="L147" s="2" t="n">
        <v>5.95</v>
      </c>
      <c r="M147" s="2" t="n">
        <v>0</v>
      </c>
      <c r="N147" s="2" t="inlineStr">
        <is>
          <t>P</t>
        </is>
      </c>
      <c r="O147" s="2" t="n">
        <v>1</v>
      </c>
      <c r="P147" s="2" t="inlineStr">
        <is>
          <t>🪑 Riserva Fissa (da fasciaFc)</t>
        </is>
      </c>
    </row>
    <row r="148">
      <c r="A148" s="2" t="inlineStr">
        <is>
          <t>Valle</t>
        </is>
      </c>
      <c r="B148" s="2" t="inlineStr">
        <is>
          <t>Como</t>
        </is>
      </c>
      <c r="C148" s="2" t="inlineStr">
        <is>
          <t>D</t>
        </is>
      </c>
      <c r="D148" s="2" t="inlineStr">
        <is>
          <t>Ds/E</t>
        </is>
      </c>
      <c r="E148" s="2" t="n">
        <v>6</v>
      </c>
      <c r="F148" s="2" t="n">
        <v>21</v>
      </c>
      <c r="G148" s="2" t="n">
        <v>5.2</v>
      </c>
      <c r="H148" s="2" t="n">
        <v>1.2</v>
      </c>
      <c r="I148" s="2" t="n">
        <v>7</v>
      </c>
      <c r="J148" s="2" t="inlineStr">
        <is>
          <t>OttimoTit</t>
        </is>
      </c>
      <c r="K148" s="2" t="n">
        <v>86</v>
      </c>
      <c r="L148" s="2" t="n">
        <v>6.15</v>
      </c>
      <c r="M148" s="2" t="n">
        <v>0</v>
      </c>
      <c r="N148" s="2" t="inlineStr">
        <is>
          <t>B</t>
        </is>
      </c>
      <c r="O148" s="2" t="n">
        <v>6.5</v>
      </c>
      <c r="P148" s="2" t="inlineStr">
        <is>
          <t>🟡 Ballottaggio</t>
        </is>
      </c>
    </row>
    <row r="149">
      <c r="A149" s="2" t="inlineStr">
        <is>
          <t>Veiga D.</t>
        </is>
      </c>
      <c r="B149" s="2" t="inlineStr">
        <is>
          <t>Lecce</t>
        </is>
      </c>
      <c r="C149" s="2" t="inlineStr">
        <is>
          <t>D</t>
        </is>
      </c>
      <c r="D149" s="2" t="inlineStr">
        <is>
          <t>Dd/E</t>
        </is>
      </c>
      <c r="E149" s="2" t="n">
        <v>6</v>
      </c>
      <c r="F149" s="2" t="n">
        <v>12</v>
      </c>
      <c r="G149" s="2" t="n">
        <v>1.3</v>
      </c>
      <c r="H149" s="2" t="n">
        <v>0.5</v>
      </c>
      <c r="I149" s="2" t="n">
        <v>8</v>
      </c>
      <c r="J149" s="2" t="inlineStr">
        <is>
          <t>TitLowCost</t>
        </is>
      </c>
      <c r="K149" s="2" t="n">
        <v>92</v>
      </c>
      <c r="L149" s="2" t="n">
        <v>6.01</v>
      </c>
      <c r="M149" s="2" t="n">
        <v>0</v>
      </c>
      <c r="N149" s="2" t="inlineStr">
        <is>
          <t>T</t>
        </is>
      </c>
      <c r="O149" s="2" t="n">
        <v>1</v>
      </c>
      <c r="P149" s="2" t="inlineStr">
        <is>
          <t>Normale</t>
        </is>
      </c>
    </row>
    <row r="150">
      <c r="A150" s="2" t="inlineStr">
        <is>
          <t>Viery</t>
        </is>
      </c>
      <c r="B150" s="2" t="inlineStr">
        <is>
          <t>Fiorentina</t>
        </is>
      </c>
      <c r="C150" s="2" t="inlineStr">
        <is>
          <t>D</t>
        </is>
      </c>
      <c r="D150" s="2" t="inlineStr">
        <is>
          <t>Ds/Dc</t>
        </is>
      </c>
      <c r="E150" s="2" t="n">
        <v>6</v>
      </c>
      <c r="F150" s="2" t="n">
        <v>12</v>
      </c>
      <c r="G150" s="2" t="n">
        <v>1.45</v>
      </c>
      <c r="H150" s="2" t="n">
        <v>2.95</v>
      </c>
      <c r="I150" s="2" t="n">
        <v>6</v>
      </c>
      <c r="J150" s="2" t="inlineStr">
        <is>
          <t>OttimoTit</t>
        </is>
      </c>
      <c r="K150" s="2" t="n">
        <v>92</v>
      </c>
      <c r="L150" s="2" t="n">
        <v>6.13</v>
      </c>
      <c r="M150" s="2" t="n">
        <v>0</v>
      </c>
      <c r="N150" s="2" t="inlineStr">
        <is>
          <t>T</t>
        </is>
      </c>
      <c r="O150" s="2" t="n">
        <v>1</v>
      </c>
      <c r="P150" s="2" t="inlineStr">
        <is>
          <t>Normale</t>
        </is>
      </c>
    </row>
    <row r="151">
      <c r="A151" s="2" t="inlineStr">
        <is>
          <t>Bella-Kotchap</t>
        </is>
      </c>
      <c r="B151" s="2" t="inlineStr">
        <is>
          <t>Venezia</t>
        </is>
      </c>
      <c r="C151" s="2" t="inlineStr">
        <is>
          <t>D</t>
        </is>
      </c>
      <c r="D151" s="2" t="inlineStr">
        <is>
          <t>Dc</t>
        </is>
      </c>
      <c r="E151" s="2" t="n">
        <v>5</v>
      </c>
      <c r="F151" s="2" t="n">
        <v>13</v>
      </c>
      <c r="G151" s="2" t="n">
        <v>1.35</v>
      </c>
      <c r="H151" s="2" t="n">
        <v>0.5</v>
      </c>
      <c r="I151" s="2" t="n">
        <v>8</v>
      </c>
      <c r="J151" s="2" t="inlineStr">
        <is>
          <t>TitLowCost</t>
        </is>
      </c>
      <c r="K151" s="2" t="n">
        <v>92</v>
      </c>
      <c r="L151" s="2" t="n">
        <v>6.05</v>
      </c>
      <c r="M151" s="2" t="n">
        <v>0</v>
      </c>
      <c r="N151" s="2" t="inlineStr">
        <is>
          <t>T</t>
        </is>
      </c>
      <c r="O151" s="2" t="n">
        <v>1</v>
      </c>
      <c r="P151" s="2" t="inlineStr">
        <is>
          <t>Normale</t>
        </is>
      </c>
    </row>
    <row r="152">
      <c r="A152" s="2" t="inlineStr">
        <is>
          <t>Calvani</t>
        </is>
      </c>
      <c r="B152" s="2" t="inlineStr">
        <is>
          <t>Frosinone</t>
        </is>
      </c>
      <c r="C152" s="2" t="inlineStr">
        <is>
          <t>D</t>
        </is>
      </c>
      <c r="D152" s="2" t="inlineStr">
        <is>
          <t>Dc</t>
        </is>
      </c>
      <c r="E152" s="2" t="n">
        <v>5</v>
      </c>
      <c r="F152" s="2" t="n">
        <v>13</v>
      </c>
      <c r="G152" s="2" t="n">
        <v>1.2</v>
      </c>
      <c r="H152" s="2" t="n">
        <v>0.5</v>
      </c>
      <c r="I152" s="2" t="n">
        <v>8</v>
      </c>
      <c r="J152" s="2" t="inlineStr">
        <is>
          <t>TitLowCost</t>
        </is>
      </c>
      <c r="K152" s="2" t="n">
        <v>88</v>
      </c>
      <c r="L152" s="2" t="n">
        <v>5.85</v>
      </c>
      <c r="M152" s="2" t="n">
        <v>0</v>
      </c>
      <c r="N152" s="2" t="inlineStr">
        <is>
          <t>T</t>
        </is>
      </c>
      <c r="O152" s="2" t="n">
        <v>1</v>
      </c>
      <c r="P152" s="2" t="inlineStr">
        <is>
          <t>Normale</t>
        </is>
      </c>
    </row>
    <row r="153">
      <c r="A153" s="2" t="inlineStr">
        <is>
          <t>Correia T.</t>
        </is>
      </c>
      <c r="B153" s="2" t="inlineStr">
        <is>
          <t>Venezia</t>
        </is>
      </c>
      <c r="C153" s="2" t="inlineStr">
        <is>
          <t>D</t>
        </is>
      </c>
      <c r="D153" s="2" t="inlineStr">
        <is>
          <t>Dd/Ds/E</t>
        </is>
      </c>
      <c r="E153" s="2" t="n">
        <v>5</v>
      </c>
      <c r="F153" s="2" t="n">
        <v>12</v>
      </c>
      <c r="G153" s="2" t="n">
        <v>1.3</v>
      </c>
      <c r="H153" s="2" t="n">
        <v>0.5</v>
      </c>
      <c r="I153" s="2" t="n">
        <v>8</v>
      </c>
      <c r="J153" s="2" t="inlineStr">
        <is>
          <t>TitLowCost</t>
        </is>
      </c>
      <c r="K153" s="2" t="n">
        <v>88</v>
      </c>
      <c r="L153" s="2" t="n">
        <v>5.87</v>
      </c>
      <c r="M153" s="2" t="n">
        <v>0</v>
      </c>
      <c r="N153" s="2" t="inlineStr">
        <is>
          <t>T</t>
        </is>
      </c>
      <c r="O153" s="2" t="n">
        <v>1</v>
      </c>
      <c r="P153" s="2" t="inlineStr">
        <is>
          <t>Normale</t>
        </is>
      </c>
    </row>
    <row r="154">
      <c r="A154" s="2" t="inlineStr">
        <is>
          <t>De Winter</t>
        </is>
      </c>
      <c r="B154" s="2" t="inlineStr">
        <is>
          <t>Milan</t>
        </is>
      </c>
      <c r="C154" s="2" t="inlineStr">
        <is>
          <t>D</t>
        </is>
      </c>
      <c r="D154" s="2" t="inlineStr">
        <is>
          <t>Dd/Dc</t>
        </is>
      </c>
      <c r="E154" s="2" t="n">
        <v>5</v>
      </c>
      <c r="F154" s="2" t="n">
        <v>20</v>
      </c>
      <c r="G154" s="2" t="n">
        <v>4.25</v>
      </c>
      <c r="H154" s="2" t="n">
        <v>0.5</v>
      </c>
      <c r="I154" s="2" t="n">
        <v>8</v>
      </c>
      <c r="J154" s="2" t="inlineStr">
        <is>
          <t>TitLowCost</t>
        </is>
      </c>
      <c r="K154" s="2" t="n">
        <v>78</v>
      </c>
      <c r="L154" s="2" t="n">
        <v>6.18</v>
      </c>
      <c r="M154" s="2" t="n">
        <v>0</v>
      </c>
      <c r="N154" s="2" t="inlineStr">
        <is>
          <t>B</t>
        </is>
      </c>
      <c r="O154" s="2" t="n">
        <v>3.5</v>
      </c>
      <c r="P154" s="2" t="inlineStr">
        <is>
          <t>🟡 Ballottaggio</t>
        </is>
      </c>
    </row>
    <row r="155">
      <c r="A155" s="2" t="inlineStr">
        <is>
          <t>Doig</t>
        </is>
      </c>
      <c r="B155" s="2" t="inlineStr">
        <is>
          <t>Sassuolo</t>
        </is>
      </c>
      <c r="C155" s="2" t="inlineStr">
        <is>
          <t>D</t>
        </is>
      </c>
      <c r="D155" s="2" t="inlineStr">
        <is>
          <t>Ds/E</t>
        </is>
      </c>
      <c r="E155" s="2" t="n">
        <v>5</v>
      </c>
      <c r="F155" s="2" t="n">
        <v>10</v>
      </c>
      <c r="G155" s="2" t="n">
        <v>1.35</v>
      </c>
      <c r="H155" s="2" t="n">
        <v>0.5</v>
      </c>
      <c r="I155" s="2" t="n">
        <v>8</v>
      </c>
      <c r="J155" s="2" t="inlineStr">
        <is>
          <t>TitLowCost</t>
        </is>
      </c>
      <c r="K155" s="2" t="n">
        <v>88</v>
      </c>
      <c r="L155" s="2" t="n">
        <v>6.12</v>
      </c>
      <c r="M155" s="2" t="n">
        <v>0</v>
      </c>
      <c r="N155" s="2" t="inlineStr">
        <is>
          <t>B</t>
        </is>
      </c>
      <c r="O155" s="2" t="n">
        <v>1</v>
      </c>
      <c r="P155" s="2" t="inlineStr">
        <is>
          <t>🟡 Ballottaggio</t>
        </is>
      </c>
    </row>
    <row r="156">
      <c r="A156" s="2" t="inlineStr">
        <is>
          <t>Gaspar K.</t>
        </is>
      </c>
      <c r="B156" s="2" t="inlineStr">
        <is>
          <t>Lecce</t>
        </is>
      </c>
      <c r="C156" s="2" t="inlineStr">
        <is>
          <t>D</t>
        </is>
      </c>
      <c r="D156" s="2" t="inlineStr">
        <is>
          <t>Dc</t>
        </is>
      </c>
      <c r="E156" s="2" t="n">
        <v>5</v>
      </c>
      <c r="F156" s="2" t="n">
        <v>12</v>
      </c>
      <c r="G156" s="2" t="n">
        <v>1.5</v>
      </c>
      <c r="H156" s="2" t="n">
        <v>0.5</v>
      </c>
      <c r="I156" s="2" t="n">
        <v>8</v>
      </c>
      <c r="J156" s="2" t="inlineStr">
        <is>
          <t>TitLowCost</t>
        </is>
      </c>
      <c r="K156" s="2" t="n">
        <v>80</v>
      </c>
      <c r="L156" s="2" t="n">
        <v>6.04</v>
      </c>
      <c r="M156" s="2" t="n">
        <v>0</v>
      </c>
      <c r="N156" s="2" t="inlineStr">
        <is>
          <t>T</t>
        </is>
      </c>
      <c r="O156" s="2" t="n">
        <v>1</v>
      </c>
      <c r="P156" s="2" t="inlineStr">
        <is>
          <t>Normale</t>
        </is>
      </c>
    </row>
    <row r="157">
      <c r="A157" s="2" t="inlineStr">
        <is>
          <t>Ghilardi</t>
        </is>
      </c>
      <c r="B157" s="2" t="inlineStr">
        <is>
          <t>Roma</t>
        </is>
      </c>
      <c r="C157" s="2" t="inlineStr">
        <is>
          <t>D</t>
        </is>
      </c>
      <c r="D157" s="2" t="inlineStr">
        <is>
          <t>Dc</t>
        </is>
      </c>
      <c r="E157" s="2" t="n">
        <v>5</v>
      </c>
      <c r="F157" s="2" t="n">
        <v>10</v>
      </c>
      <c r="G157" s="2" t="n">
        <v>1.3</v>
      </c>
      <c r="H157" s="2" t="n">
        <v>0.5</v>
      </c>
      <c r="I157" s="2" t="n">
        <v>8</v>
      </c>
      <c r="J157" s="2" t="inlineStr">
        <is>
          <t>Riserva</t>
        </is>
      </c>
      <c r="K157" s="2" t="n">
        <v>52</v>
      </c>
      <c r="L157" s="2" t="n">
        <v>5.94</v>
      </c>
      <c r="M157" s="2" t="n">
        <v>0</v>
      </c>
      <c r="N157" s="2" t="inlineStr">
        <is>
          <t>P</t>
        </is>
      </c>
      <c r="O157" s="2" t="n">
        <v>1</v>
      </c>
      <c r="P157" s="2" t="inlineStr">
        <is>
          <t>🪑 Riserva Fissa (da fasciaFc)</t>
        </is>
      </c>
    </row>
    <row r="158">
      <c r="A158" s="2" t="inlineStr">
        <is>
          <t>Haps</t>
        </is>
      </c>
      <c r="B158" s="2" t="inlineStr">
        <is>
          <t>Venezia</t>
        </is>
      </c>
      <c r="C158" s="2" t="inlineStr">
        <is>
          <t>D</t>
        </is>
      </c>
      <c r="D158" s="2" t="inlineStr">
        <is>
          <t>Ds/E</t>
        </is>
      </c>
      <c r="E158" s="2" t="n">
        <v>5</v>
      </c>
      <c r="F158" s="2" t="n">
        <v>10</v>
      </c>
      <c r="G158" s="2" t="n">
        <v>1.2</v>
      </c>
      <c r="H158" s="2" t="n">
        <v>0.5</v>
      </c>
      <c r="I158" s="2" t="n">
        <v>8</v>
      </c>
      <c r="J158" s="2" t="inlineStr">
        <is>
          <t>TitLowCost</t>
        </is>
      </c>
      <c r="K158" s="2" t="n">
        <v>76</v>
      </c>
      <c r="L158" s="2" t="n">
        <v>5.98</v>
      </c>
      <c r="M158" s="2" t="n">
        <v>0</v>
      </c>
      <c r="N158" s="2" t="inlineStr">
        <is>
          <t>P</t>
        </is>
      </c>
      <c r="O158" s="2" t="n">
        <v>1</v>
      </c>
      <c r="P158" s="2" t="inlineStr">
        <is>
          <t>Normale</t>
        </is>
      </c>
    </row>
    <row r="159">
      <c r="A159" s="2" t="inlineStr">
        <is>
          <t>Kelly L.</t>
        </is>
      </c>
      <c r="B159" s="2" t="inlineStr">
        <is>
          <t>Juventus</t>
        </is>
      </c>
      <c r="C159" s="2" t="inlineStr">
        <is>
          <t>D</t>
        </is>
      </c>
      <c r="D159" s="2" t="inlineStr">
        <is>
          <t>Ds/Dc</t>
        </is>
      </c>
      <c r="E159" s="2" t="n">
        <v>5</v>
      </c>
      <c r="F159" s="2" t="n">
        <v>12</v>
      </c>
      <c r="G159" s="2" t="n">
        <v>2.5</v>
      </c>
      <c r="H159" s="2" t="n">
        <v>0.5</v>
      </c>
      <c r="I159" s="2" t="n">
        <v>8</v>
      </c>
      <c r="J159" s="2" t="inlineStr">
        <is>
          <t>TitLowCost</t>
        </is>
      </c>
      <c r="K159" s="2" t="n">
        <v>80</v>
      </c>
      <c r="L159" s="2" t="n">
        <v>6.17</v>
      </c>
      <c r="M159" s="2" t="n">
        <v>0</v>
      </c>
      <c r="N159" s="2" t="inlineStr">
        <is>
          <t>P</t>
        </is>
      </c>
      <c r="O159" s="2" t="n">
        <v>1.5</v>
      </c>
      <c r="P159" s="2" t="inlineStr">
        <is>
          <t>Normale</t>
        </is>
      </c>
    </row>
    <row r="160">
      <c r="A160" s="2" t="inlineStr">
        <is>
          <t>Kempf</t>
        </is>
      </c>
      <c r="B160" s="2" t="inlineStr">
        <is>
          <t>Como</t>
        </is>
      </c>
      <c r="C160" s="2" t="inlineStr">
        <is>
          <t>D</t>
        </is>
      </c>
      <c r="D160" s="2" t="inlineStr">
        <is>
          <t>Dc</t>
        </is>
      </c>
      <c r="E160" s="2" t="n">
        <v>5</v>
      </c>
      <c r="F160" s="2" t="n">
        <v>13</v>
      </c>
      <c r="G160" s="2" t="n">
        <v>2</v>
      </c>
      <c r="H160" s="2" t="n">
        <v>0.5</v>
      </c>
      <c r="I160" s="2" t="n">
        <v>8</v>
      </c>
      <c r="J160" s="2" t="inlineStr">
        <is>
          <t>TitLowCost</t>
        </is>
      </c>
      <c r="K160" s="2" t="n">
        <v>76</v>
      </c>
      <c r="L160" s="2" t="n">
        <v>6.16</v>
      </c>
      <c r="M160" s="2" t="n">
        <v>0</v>
      </c>
      <c r="N160" s="2" t="inlineStr">
        <is>
          <t>P</t>
        </is>
      </c>
      <c r="O160" s="2" t="n">
        <v>1</v>
      </c>
      <c r="P160" s="2" t="inlineStr">
        <is>
          <t>Normale</t>
        </is>
      </c>
    </row>
    <row r="161">
      <c r="A161" s="2" t="inlineStr">
        <is>
          <t>Kofler</t>
        </is>
      </c>
      <c r="B161" s="2" t="inlineStr">
        <is>
          <t>Cagliari</t>
        </is>
      </c>
      <c r="C161" s="2" t="inlineStr">
        <is>
          <t>D</t>
        </is>
      </c>
      <c r="D161" s="2" t="inlineStr">
        <is>
          <t>Dc</t>
        </is>
      </c>
      <c r="E161" s="2" t="n">
        <v>5</v>
      </c>
      <c r="F161" s="2" t="n">
        <v>8</v>
      </c>
      <c r="G161" s="2" t="n">
        <v>0.75</v>
      </c>
      <c r="H161" s="2" t="n">
        <v>0.5</v>
      </c>
      <c r="I161" s="2" t="n">
        <v>8</v>
      </c>
      <c r="J161" s="2" t="inlineStr">
        <is>
          <t>Riserva</t>
        </is>
      </c>
      <c r="K161" s="2" t="n">
        <v>52</v>
      </c>
      <c r="L161" s="2" t="n">
        <v>5.89</v>
      </c>
      <c r="M161" s="2" t="n">
        <v>0</v>
      </c>
      <c r="N161" s="2" t="inlineStr">
        <is>
          <t>P</t>
        </is>
      </c>
      <c r="O161" s="2" t="n">
        <v>1</v>
      </c>
      <c r="P161" s="2" t="inlineStr">
        <is>
          <t>🪑 Riserva Fissa (da fasciaFc)</t>
        </is>
      </c>
    </row>
    <row r="162">
      <c r="A162" s="2" t="inlineStr">
        <is>
          <t>Olivera</t>
        </is>
      </c>
      <c r="B162" s="2" t="inlineStr">
        <is>
          <t>Napoli</t>
        </is>
      </c>
      <c r="C162" s="2" t="inlineStr">
        <is>
          <t>D</t>
        </is>
      </c>
      <c r="D162" s="2" t="inlineStr">
        <is>
          <t>B/Ds/E</t>
        </is>
      </c>
      <c r="E162" s="2" t="n">
        <v>5</v>
      </c>
      <c r="F162" s="2" t="n">
        <v>13</v>
      </c>
      <c r="G162" s="2" t="n">
        <v>1.85</v>
      </c>
      <c r="H162" s="2" t="n">
        <v>0.5</v>
      </c>
      <c r="I162" s="2" t="n">
        <v>8</v>
      </c>
      <c r="J162" s="2" t="inlineStr">
        <is>
          <t>Riserva</t>
        </is>
      </c>
      <c r="K162" s="2" t="n">
        <v>60</v>
      </c>
      <c r="L162" s="2" t="n">
        <v>6.05</v>
      </c>
      <c r="M162" s="2" t="n">
        <v>0</v>
      </c>
      <c r="N162" s="2" t="inlineStr">
        <is>
          <t>P</t>
        </is>
      </c>
      <c r="O162" s="2" t="n">
        <v>1</v>
      </c>
      <c r="P162" s="2" t="inlineStr">
        <is>
          <t>🪑 Riserva Fissa (da fasciaFc)</t>
        </is>
      </c>
    </row>
    <row r="163">
      <c r="A163" s="2" t="inlineStr">
        <is>
          <t>Patterson</t>
        </is>
      </c>
      <c r="B163" s="2" t="inlineStr">
        <is>
          <t>Torino</t>
        </is>
      </c>
      <c r="C163" s="2" t="inlineStr">
        <is>
          <t>D</t>
        </is>
      </c>
      <c r="D163" s="2" t="inlineStr">
        <is>
          <t>Dd/E</t>
        </is>
      </c>
      <c r="E163" s="2" t="n">
        <v>5</v>
      </c>
      <c r="F163" s="2" t="n">
        <v>12</v>
      </c>
      <c r="G163" s="2" t="n">
        <v>1</v>
      </c>
      <c r="H163" s="2" t="n">
        <v>0.5</v>
      </c>
      <c r="I163" s="2" t="n">
        <v>8</v>
      </c>
      <c r="J163" s="2" t="inlineStr">
        <is>
          <t>Riserva</t>
        </is>
      </c>
      <c r="K163" s="2" t="n">
        <v>59</v>
      </c>
      <c r="L163" s="2" t="n">
        <v>5.95</v>
      </c>
      <c r="M163" s="2" t="n">
        <v>0</v>
      </c>
      <c r="N163" s="2" t="inlineStr">
        <is>
          <t>P</t>
        </is>
      </c>
      <c r="O163" s="2" t="n">
        <v>1</v>
      </c>
      <c r="P163" s="2" t="inlineStr">
        <is>
          <t>🪑 Riserva Fissa (da fasciaFc)</t>
        </is>
      </c>
    </row>
    <row r="164">
      <c r="A164" s="2" t="inlineStr">
        <is>
          <t>Rodriguez R.</t>
        </is>
      </c>
      <c r="B164" s="2" t="inlineStr">
        <is>
          <t>Torino</t>
        </is>
      </c>
      <c r="C164" s="2" t="inlineStr">
        <is>
          <t>D</t>
        </is>
      </c>
      <c r="D164" s="2" t="inlineStr">
        <is>
          <t>B/Ds/E</t>
        </is>
      </c>
      <c r="E164" s="2" t="n">
        <v>5</v>
      </c>
      <c r="F164" s="2" t="n">
        <v>12</v>
      </c>
      <c r="G164" s="2" t="n">
        <v>1.1</v>
      </c>
      <c r="H164" s="2" t="n">
        <v>0.5</v>
      </c>
      <c r="I164" s="2" t="n">
        <v>8</v>
      </c>
      <c r="J164" s="2" t="inlineStr">
        <is>
          <t>TitLowCost</t>
        </is>
      </c>
      <c r="K164" s="2" t="n">
        <v>80</v>
      </c>
      <c r="L164" s="2" t="n">
        <v>6.16</v>
      </c>
      <c r="M164" s="2" t="n">
        <v>0</v>
      </c>
      <c r="N164" s="2" t="inlineStr">
        <is>
          <t>T</t>
        </is>
      </c>
      <c r="O164" s="2" t="n">
        <v>1</v>
      </c>
      <c r="P164" s="2" t="inlineStr">
        <is>
          <t>Normale</t>
        </is>
      </c>
    </row>
    <row r="165">
      <c r="A165" s="2" t="inlineStr">
        <is>
          <t>Valdepenas</t>
        </is>
      </c>
      <c r="B165" s="2" t="inlineStr">
        <is>
          <t>Fiorentina</t>
        </is>
      </c>
      <c r="C165" s="2" t="inlineStr">
        <is>
          <t>D</t>
        </is>
      </c>
      <c r="D165" s="2" t="inlineStr">
        <is>
          <t>Ds/Dc</t>
        </is>
      </c>
      <c r="E165" s="2" t="n">
        <v>5</v>
      </c>
      <c r="F165" s="2" t="n">
        <v>16</v>
      </c>
      <c r="G165" s="2" t="n">
        <v>6.95</v>
      </c>
      <c r="H165" s="2" t="n">
        <v>3.8</v>
      </c>
      <c r="I165" s="2" t="n">
        <v>5</v>
      </c>
      <c r="J165" s="2" t="inlineStr">
        <is>
          <t>OttimoTit</t>
        </is>
      </c>
      <c r="K165" s="2" t="n">
        <v>90</v>
      </c>
      <c r="L165" s="2" t="n">
        <v>6.16</v>
      </c>
      <c r="M165" s="2" t="n">
        <v>0</v>
      </c>
      <c r="N165" s="2" t="inlineStr">
        <is>
          <t>T</t>
        </is>
      </c>
      <c r="O165" s="2" t="n">
        <v>7</v>
      </c>
      <c r="P165" s="2" t="inlineStr">
        <is>
          <t>Normale</t>
        </is>
      </c>
    </row>
    <row r="166">
      <c r="A166" s="2" t="inlineStr">
        <is>
          <t>Zè Pedro</t>
        </is>
      </c>
      <c r="B166" s="2" t="inlineStr">
        <is>
          <t>Cagliari</t>
        </is>
      </c>
      <c r="C166" s="2" t="inlineStr">
        <is>
          <t>D</t>
        </is>
      </c>
      <c r="D166" s="2" t="inlineStr">
        <is>
          <t>Dd/Dc</t>
        </is>
      </c>
      <c r="E166" s="2" t="n">
        <v>5</v>
      </c>
      <c r="F166" s="2" t="n">
        <v>13</v>
      </c>
      <c r="G166" s="2" t="n">
        <v>1.55</v>
      </c>
      <c r="H166" s="2" t="n">
        <v>0.5</v>
      </c>
      <c r="I166" s="2" t="n">
        <v>8</v>
      </c>
      <c r="J166" s="2" t="inlineStr">
        <is>
          <t>TitLowCost</t>
        </is>
      </c>
      <c r="K166" s="2" t="n">
        <v>88</v>
      </c>
      <c r="L166" s="2" t="n">
        <v>6.05</v>
      </c>
      <c r="M166" s="2" t="n">
        <v>0</v>
      </c>
      <c r="N166" s="2" t="inlineStr">
        <is>
          <t>T</t>
        </is>
      </c>
      <c r="O166" s="2" t="n">
        <v>1</v>
      </c>
      <c r="P166" s="2" t="inlineStr">
        <is>
          <t>Normale</t>
        </is>
      </c>
    </row>
    <row r="167">
      <c r="A167" s="2" t="inlineStr">
        <is>
          <t>Arizala</t>
        </is>
      </c>
      <c r="B167" s="2" t="inlineStr">
        <is>
          <t>Udinese</t>
        </is>
      </c>
      <c r="C167" s="2" t="inlineStr">
        <is>
          <t>D</t>
        </is>
      </c>
      <c r="D167" s="2" t="inlineStr">
        <is>
          <t>Ds;E</t>
        </is>
      </c>
      <c r="E167" s="2" t="n">
        <v>4</v>
      </c>
      <c r="F167" s="2" t="n">
        <v>8</v>
      </c>
      <c r="G167" s="2" t="n">
        <v>0.5</v>
      </c>
      <c r="H167" s="2" t="n">
        <v>0.5</v>
      </c>
      <c r="I167" s="2" t="n">
        <v>8</v>
      </c>
      <c r="J167" s="2" t="inlineStr">
        <is>
          <t>Riserva</t>
        </is>
      </c>
      <c r="K167" s="2" t="n">
        <v>68</v>
      </c>
      <c r="L167" s="2" t="n">
        <v>6.01</v>
      </c>
      <c r="M167" s="2" t="n">
        <v>0</v>
      </c>
      <c r="N167" s="2" t="inlineStr">
        <is>
          <t>P</t>
        </is>
      </c>
      <c r="O167" s="2" t="n">
        <v>0</v>
      </c>
      <c r="P167" s="2" t="inlineStr">
        <is>
          <t>🪑 Riserva Fissa (da fasciaFc)</t>
        </is>
      </c>
    </row>
    <row r="168">
      <c r="A168" s="2" t="inlineStr">
        <is>
          <t>Bertola</t>
        </is>
      </c>
      <c r="B168" s="2" t="inlineStr">
        <is>
          <t>Udinese</t>
        </is>
      </c>
      <c r="C168" s="2" t="inlineStr">
        <is>
          <t>D</t>
        </is>
      </c>
      <c r="D168" s="2" t="inlineStr">
        <is>
          <t>Dd/Ds/Dc</t>
        </is>
      </c>
      <c r="E168" s="2" t="n">
        <v>4</v>
      </c>
      <c r="F168" s="2" t="n">
        <v>10</v>
      </c>
      <c r="G168" s="2" t="n">
        <v>1.65</v>
      </c>
      <c r="H168" s="2" t="n">
        <v>0.5</v>
      </c>
      <c r="I168" s="2" t="n">
        <v>8</v>
      </c>
      <c r="J168" s="2" t="inlineStr">
        <is>
          <t>TitLowCost</t>
        </is>
      </c>
      <c r="K168" s="2" t="n">
        <v>78</v>
      </c>
      <c r="L168" s="2" t="n">
        <v>6.15</v>
      </c>
      <c r="M168" s="2" t="n">
        <v>0</v>
      </c>
      <c r="N168" s="2" t="inlineStr">
        <is>
          <t>B</t>
        </is>
      </c>
      <c r="O168" s="2" t="n">
        <v>1</v>
      </c>
      <c r="P168" s="2" t="inlineStr">
        <is>
          <t>🟡 Ballottaggio</t>
        </is>
      </c>
    </row>
    <row r="169">
      <c r="A169" s="2" t="inlineStr">
        <is>
          <t>Birindelli</t>
        </is>
      </c>
      <c r="B169" s="2" t="inlineStr">
        <is>
          <t>Monza</t>
        </is>
      </c>
      <c r="C169" s="2" t="inlineStr">
        <is>
          <t>D</t>
        </is>
      </c>
      <c r="D169" s="2" t="inlineStr">
        <is>
          <t>Dd/Ds/E</t>
        </is>
      </c>
      <c r="E169" s="2" t="n">
        <v>4</v>
      </c>
      <c r="F169" s="2" t="n">
        <v>12</v>
      </c>
      <c r="G169" s="2" t="n">
        <v>2.1</v>
      </c>
      <c r="H169" s="2" t="n">
        <v>0.5</v>
      </c>
      <c r="I169" s="2" t="n">
        <v>8</v>
      </c>
      <c r="J169" s="2" t="inlineStr">
        <is>
          <t>TitLowCost</t>
        </is>
      </c>
      <c r="K169" s="2" t="n">
        <v>90</v>
      </c>
      <c r="L169" s="2" t="n">
        <v>6.04</v>
      </c>
      <c r="M169" s="2" t="n">
        <v>0</v>
      </c>
      <c r="N169" s="2" t="inlineStr">
        <is>
          <t>T</t>
        </is>
      </c>
      <c r="O169" s="2" t="n">
        <v>1</v>
      </c>
      <c r="P169" s="2" t="inlineStr">
        <is>
          <t>Normale</t>
        </is>
      </c>
    </row>
    <row r="170">
      <c r="A170" s="2" t="inlineStr">
        <is>
          <t>Cittadini</t>
        </is>
      </c>
      <c r="B170" s="2" t="inlineStr">
        <is>
          <t>Frosinone</t>
        </is>
      </c>
      <c r="C170" s="2" t="inlineStr">
        <is>
          <t>D</t>
        </is>
      </c>
      <c r="D170" s="2" t="inlineStr">
        <is>
          <t>Dc</t>
        </is>
      </c>
      <c r="E170" s="2" t="n">
        <v>4</v>
      </c>
      <c r="F170" s="2" t="n">
        <v>8</v>
      </c>
      <c r="G170" s="2" t="n">
        <v>1.15</v>
      </c>
      <c r="H170" s="2" t="n">
        <v>0.5</v>
      </c>
      <c r="I170" s="2" t="n">
        <v>8</v>
      </c>
      <c r="J170" s="2" t="inlineStr">
        <is>
          <t>TitLowCost</t>
        </is>
      </c>
      <c r="K170" s="2" t="n">
        <v>86</v>
      </c>
      <c r="L170" s="2" t="n">
        <v>5.8</v>
      </c>
      <c r="M170" s="2" t="n">
        <v>0</v>
      </c>
      <c r="N170" s="2" t="inlineStr">
        <is>
          <t>B</t>
        </is>
      </c>
      <c r="O170" s="2" t="n">
        <v>1</v>
      </c>
      <c r="P170" s="2" t="inlineStr">
        <is>
          <t>🟡 Ballottaggio</t>
        </is>
      </c>
    </row>
    <row r="171">
      <c r="A171" s="2" t="inlineStr">
        <is>
          <t>Comert</t>
        </is>
      </c>
      <c r="B171" s="2" t="inlineStr">
        <is>
          <t>Torino</t>
        </is>
      </c>
      <c r="C171" s="2" t="inlineStr">
        <is>
          <t>D</t>
        </is>
      </c>
      <c r="D171" s="2" t="inlineStr">
        <is>
          <t>Dc</t>
        </is>
      </c>
      <c r="E171" s="2" t="n">
        <v>4</v>
      </c>
      <c r="F171" s="2" t="n">
        <v>12</v>
      </c>
      <c r="G171" s="2" t="n">
        <v>1.05</v>
      </c>
      <c r="H171" s="2" t="n">
        <v>0.5</v>
      </c>
      <c r="I171" s="2" t="n">
        <v>8</v>
      </c>
      <c r="J171" s="2" t="inlineStr">
        <is>
          <t>TitLowCost</t>
        </is>
      </c>
      <c r="K171" s="2" t="n">
        <v>90</v>
      </c>
      <c r="L171" s="2" t="n">
        <v>6.1</v>
      </c>
      <c r="M171" s="2" t="n">
        <v>0</v>
      </c>
      <c r="N171" s="2" t="inlineStr">
        <is>
          <t>T</t>
        </is>
      </c>
      <c r="O171" s="2" t="n">
        <v>1</v>
      </c>
      <c r="P171" s="2" t="inlineStr">
        <is>
          <t>Normale</t>
        </is>
      </c>
    </row>
    <row r="172">
      <c r="A172" s="2" t="inlineStr">
        <is>
          <t>Ehizibue</t>
        </is>
      </c>
      <c r="B172" s="2" t="inlineStr">
        <is>
          <t>Genoa</t>
        </is>
      </c>
      <c r="C172" s="2" t="inlineStr">
        <is>
          <t>D</t>
        </is>
      </c>
      <c r="D172" s="2" t="inlineStr">
        <is>
          <t>Dd/E</t>
        </is>
      </c>
      <c r="E172" s="2" t="n">
        <v>4</v>
      </c>
      <c r="F172" s="2" t="n">
        <v>10</v>
      </c>
      <c r="G172" s="2" t="n">
        <v>1.2</v>
      </c>
      <c r="H172" s="2" t="n">
        <v>0.5</v>
      </c>
      <c r="I172" s="2" t="n">
        <v>8</v>
      </c>
      <c r="J172" s="2" t="inlineStr">
        <is>
          <t>TitLowCost</t>
        </is>
      </c>
      <c r="K172" s="2" t="n">
        <v>80</v>
      </c>
      <c r="L172" s="2" t="n">
        <v>6.16</v>
      </c>
      <c r="M172" s="2" t="n">
        <v>0</v>
      </c>
      <c r="N172" s="2" t="inlineStr">
        <is>
          <t>T</t>
        </is>
      </c>
      <c r="O172" s="2" t="n">
        <v>1</v>
      </c>
      <c r="P172" s="2" t="inlineStr">
        <is>
          <t>Normale</t>
        </is>
      </c>
    </row>
    <row r="173">
      <c r="A173" s="2" t="inlineStr">
        <is>
          <t>Favasuli</t>
        </is>
      </c>
      <c r="B173" s="2" t="inlineStr">
        <is>
          <t>Napoli</t>
        </is>
      </c>
      <c r="C173" s="2" t="inlineStr">
        <is>
          <t>D</t>
        </is>
      </c>
      <c r="D173" s="2" t="inlineStr">
        <is>
          <t>Dd/Ds/E</t>
        </is>
      </c>
      <c r="E173" s="2" t="n">
        <v>4</v>
      </c>
      <c r="F173" s="2" t="n">
        <v>11</v>
      </c>
      <c r="G173" s="2" t="n">
        <v>1.1</v>
      </c>
      <c r="H173" s="2" t="n">
        <v>0.5</v>
      </c>
      <c r="I173" s="2" t="n">
        <v>8</v>
      </c>
      <c r="J173" s="2" t="inlineStr">
        <is>
          <t>Riserva</t>
        </is>
      </c>
      <c r="K173" s="2" t="n">
        <v>64</v>
      </c>
      <c r="L173" s="2" t="n">
        <v>6.09</v>
      </c>
      <c r="M173" s="2" t="n">
        <v>0</v>
      </c>
      <c r="N173" s="2" t="inlineStr">
        <is>
          <t>P</t>
        </is>
      </c>
      <c r="O173" s="2" t="n">
        <v>1</v>
      </c>
      <c r="P173" s="2" t="inlineStr">
        <is>
          <t>🪑 Riserva Fissa (da fasciaFc)</t>
        </is>
      </c>
    </row>
    <row r="174">
      <c r="A174" s="2" t="inlineStr">
        <is>
          <t>Floriani Mussolini</t>
        </is>
      </c>
      <c r="B174" s="2" t="inlineStr">
        <is>
          <t>Lazio</t>
        </is>
      </c>
      <c r="C174" s="2" t="inlineStr">
        <is>
          <t>D</t>
        </is>
      </c>
      <c r="D174" s="2" t="inlineStr">
        <is>
          <t>Dd/E</t>
        </is>
      </c>
      <c r="E174" s="2" t="n">
        <v>4</v>
      </c>
      <c r="F174" s="2" t="n">
        <v>10</v>
      </c>
      <c r="G174" s="2" t="n">
        <v>1.6</v>
      </c>
      <c r="H174" s="2" t="n">
        <v>0.5</v>
      </c>
      <c r="I174" s="2" t="n">
        <v>8</v>
      </c>
      <c r="J174" s="2" t="inlineStr">
        <is>
          <t>TitLowCost</t>
        </is>
      </c>
      <c r="K174" s="2" t="n">
        <v>76</v>
      </c>
      <c r="L174" s="2" t="n">
        <v>6.15</v>
      </c>
      <c r="M174" s="2" t="n">
        <v>0</v>
      </c>
      <c r="N174" s="2" t="inlineStr">
        <is>
          <t>P</t>
        </is>
      </c>
      <c r="O174" s="2" t="n">
        <v>1</v>
      </c>
      <c r="P174" s="2" t="inlineStr">
        <is>
          <t>Normale</t>
        </is>
      </c>
    </row>
    <row r="175">
      <c r="A175" s="2" t="inlineStr">
        <is>
          <t>Gatti</t>
        </is>
      </c>
      <c r="B175" s="2" t="inlineStr">
        <is>
          <t>Juventus</t>
        </is>
      </c>
      <c r="C175" s="2" t="inlineStr">
        <is>
          <t>D</t>
        </is>
      </c>
      <c r="D175" s="2" t="inlineStr">
        <is>
          <t>Dc</t>
        </is>
      </c>
      <c r="E175" s="2" t="n">
        <v>4</v>
      </c>
      <c r="F175" s="2" t="n">
        <v>10</v>
      </c>
      <c r="G175" s="2" t="n">
        <v>1.25</v>
      </c>
      <c r="H175" s="2" t="n">
        <v>0.5</v>
      </c>
      <c r="I175" s="2" t="n">
        <v>8</v>
      </c>
      <c r="J175" s="2" t="inlineStr">
        <is>
          <t>Riserva</t>
        </is>
      </c>
      <c r="K175" s="2" t="n">
        <v>51</v>
      </c>
      <c r="L175" s="2" t="n">
        <v>6.09</v>
      </c>
      <c r="M175" s="2" t="n">
        <v>0</v>
      </c>
      <c r="N175" s="2" t="inlineStr">
        <is>
          <t>P</t>
        </is>
      </c>
      <c r="O175" s="2" t="n">
        <v>1</v>
      </c>
      <c r="P175" s="2" t="inlineStr">
        <is>
          <t>🔴 Infortunato/Dubbio</t>
        </is>
      </c>
    </row>
    <row r="176">
      <c r="A176" s="2" t="inlineStr">
        <is>
          <t>Hainaut</t>
        </is>
      </c>
      <c r="B176" s="2" t="inlineStr">
        <is>
          <t>Venezia</t>
        </is>
      </c>
      <c r="C176" s="2" t="inlineStr">
        <is>
          <t>D</t>
        </is>
      </c>
      <c r="D176" s="2" t="inlineStr">
        <is>
          <t>Dd/E</t>
        </is>
      </c>
      <c r="E176" s="2" t="n">
        <v>4</v>
      </c>
      <c r="F176" s="2" t="n">
        <v>12</v>
      </c>
      <c r="G176" s="2" t="n">
        <v>1.2</v>
      </c>
      <c r="H176" s="2" t="n">
        <v>0.5</v>
      </c>
      <c r="I176" s="2" t="n">
        <v>8</v>
      </c>
      <c r="J176" s="2" t="inlineStr">
        <is>
          <t>TitLowCost</t>
        </is>
      </c>
      <c r="K176" s="2" t="n">
        <v>88</v>
      </c>
      <c r="L176" s="2" t="n">
        <v>6.04</v>
      </c>
      <c r="M176" s="2" t="n">
        <v>0</v>
      </c>
      <c r="N176" s="2" t="inlineStr">
        <is>
          <t>T</t>
        </is>
      </c>
      <c r="O176" s="2" t="n">
        <v>1</v>
      </c>
      <c r="P176" s="2" t="inlineStr">
        <is>
          <t>Normale</t>
        </is>
      </c>
    </row>
    <row r="177">
      <c r="A177" s="2" t="inlineStr">
        <is>
          <t>Juan Jesus</t>
        </is>
      </c>
      <c r="B177" s="2" t="inlineStr">
        <is>
          <t>Venezia</t>
        </is>
      </c>
      <c r="C177" s="2" t="inlineStr">
        <is>
          <t>D</t>
        </is>
      </c>
      <c r="D177" s="2" t="inlineStr">
        <is>
          <t>Ds/Dc</t>
        </is>
      </c>
      <c r="E177" s="2" t="n">
        <v>4</v>
      </c>
      <c r="F177" s="2" t="n">
        <v>10</v>
      </c>
      <c r="G177" s="2" t="n">
        <v>1.25</v>
      </c>
      <c r="H177" s="2" t="n">
        <v>0.5</v>
      </c>
      <c r="I177" s="2" t="n">
        <v>8</v>
      </c>
      <c r="J177" s="2" t="inlineStr">
        <is>
          <t>TitLowCost</t>
        </is>
      </c>
      <c r="K177" s="2" t="n">
        <v>88</v>
      </c>
      <c r="L177" s="2" t="n">
        <v>5.81</v>
      </c>
      <c r="M177" s="2" t="n">
        <v>0</v>
      </c>
      <c r="N177" s="2" t="inlineStr">
        <is>
          <t>T</t>
        </is>
      </c>
      <c r="O177" s="2" t="n">
        <v>1</v>
      </c>
      <c r="P177" s="2" t="inlineStr">
        <is>
          <t>Normale</t>
        </is>
      </c>
    </row>
    <row r="178">
      <c r="A178" s="2" t="inlineStr">
        <is>
          <t>Kabasele</t>
        </is>
      </c>
      <c r="B178" s="2" t="inlineStr">
        <is>
          <t>Udinese</t>
        </is>
      </c>
      <c r="C178" s="2" t="inlineStr">
        <is>
          <t>D</t>
        </is>
      </c>
      <c r="D178" s="2" t="inlineStr">
        <is>
          <t>Dc</t>
        </is>
      </c>
      <c r="E178" s="2" t="n">
        <v>4</v>
      </c>
      <c r="F178" s="2" t="n">
        <v>12</v>
      </c>
      <c r="G178" s="2" t="n">
        <v>1.85</v>
      </c>
      <c r="H178" s="2" t="n">
        <v>0.5</v>
      </c>
      <c r="I178" s="2" t="n">
        <v>8</v>
      </c>
      <c r="J178" s="2" t="inlineStr">
        <is>
          <t>TitLowCost</t>
        </is>
      </c>
      <c r="K178" s="2" t="n">
        <v>84</v>
      </c>
      <c r="L178" s="2" t="n">
        <v>6.09</v>
      </c>
      <c r="M178" s="2" t="n">
        <v>0</v>
      </c>
      <c r="N178" s="2" t="inlineStr">
        <is>
          <t>T</t>
        </is>
      </c>
      <c r="O178" s="2" t="n">
        <v>1</v>
      </c>
      <c r="P178" s="2" t="inlineStr">
        <is>
          <t>Normale</t>
        </is>
      </c>
    </row>
    <row r="179">
      <c r="A179" s="2" t="inlineStr">
        <is>
          <t>Kossounou</t>
        </is>
      </c>
      <c r="B179" s="2" t="inlineStr">
        <is>
          <t>Atalanta</t>
        </is>
      </c>
      <c r="C179" s="2" t="inlineStr">
        <is>
          <t>D</t>
        </is>
      </c>
      <c r="D179" s="2" t="inlineStr">
        <is>
          <t>Dd/Dc</t>
        </is>
      </c>
      <c r="E179" s="2" t="n">
        <v>4</v>
      </c>
      <c r="F179" s="2" t="n">
        <v>12</v>
      </c>
      <c r="G179" s="2" t="n">
        <v>2.35</v>
      </c>
      <c r="H179" s="2" t="n">
        <v>0.5</v>
      </c>
      <c r="I179" s="2" t="n">
        <v>8</v>
      </c>
      <c r="J179" s="2" t="inlineStr">
        <is>
          <t>Jolly</t>
        </is>
      </c>
      <c r="K179" s="2" t="n">
        <v>72</v>
      </c>
      <c r="L179" s="2" t="n">
        <v>5.99</v>
      </c>
      <c r="M179" s="2" t="n">
        <v>0</v>
      </c>
      <c r="N179" s="2" t="inlineStr">
        <is>
          <t>P</t>
        </is>
      </c>
      <c r="O179" s="2" t="n">
        <v>1</v>
      </c>
      <c r="P179" s="2" t="inlineStr">
        <is>
          <t>Normale</t>
        </is>
      </c>
    </row>
    <row r="180">
      <c r="A180" s="2" t="inlineStr">
        <is>
          <t>Mitaj</t>
        </is>
      </c>
      <c r="B180" s="2" t="inlineStr">
        <is>
          <t>Genoa</t>
        </is>
      </c>
      <c r="C180" s="2" t="inlineStr">
        <is>
          <t>D</t>
        </is>
      </c>
      <c r="D180" s="2" t="inlineStr">
        <is>
          <t>Ds/E</t>
        </is>
      </c>
      <c r="E180" s="2" t="n">
        <v>4</v>
      </c>
      <c r="F180" s="2" t="n">
        <v>10</v>
      </c>
      <c r="G180" s="2" t="n">
        <v>1.05</v>
      </c>
      <c r="H180" s="2" t="n">
        <v>0.5</v>
      </c>
      <c r="I180" s="2" t="n">
        <v>8</v>
      </c>
      <c r="J180" s="2" t="inlineStr">
        <is>
          <t>TitLowCost</t>
        </is>
      </c>
      <c r="K180" s="2" t="n">
        <v>78</v>
      </c>
      <c r="L180" s="2" t="n">
        <v>6.13</v>
      </c>
      <c r="M180" s="2" t="n">
        <v>0</v>
      </c>
      <c r="N180" s="2" t="inlineStr">
        <is>
          <t>B</t>
        </is>
      </c>
      <c r="O180" s="2" t="n">
        <v>1</v>
      </c>
      <c r="P180" s="2" t="inlineStr">
        <is>
          <t>🟡 Ballottaggio</t>
        </is>
      </c>
    </row>
    <row r="181">
      <c r="A181" s="2" t="inlineStr">
        <is>
          <t>Moreno M.</t>
        </is>
      </c>
      <c r="B181" s="2" t="inlineStr">
        <is>
          <t>Venezia</t>
        </is>
      </c>
      <c r="C181" s="2" t="inlineStr">
        <is>
          <t>D</t>
        </is>
      </c>
      <c r="D181" s="2" t="inlineStr">
        <is>
          <t>Dc</t>
        </is>
      </c>
      <c r="E181" s="2" t="n">
        <v>4</v>
      </c>
      <c r="F181" s="2" t="n">
        <v>6</v>
      </c>
      <c r="G181" s="2" t="n">
        <v>0.5</v>
      </c>
      <c r="H181" s="2" t="n">
        <v>0.5</v>
      </c>
      <c r="I181" s="2" t="n">
        <v>8</v>
      </c>
      <c r="J181" s="2" t="inlineStr">
        <is>
          <t>Riserva</t>
        </is>
      </c>
      <c r="K181" s="2" t="n">
        <v>55</v>
      </c>
      <c r="L181" s="2" t="n">
        <v>5.59</v>
      </c>
      <c r="M181" s="2" t="n">
        <v>0</v>
      </c>
      <c r="N181" s="2" t="inlineStr">
        <is>
          <t>P</t>
        </is>
      </c>
      <c r="O181" s="2" t="n">
        <v>1</v>
      </c>
      <c r="P181" s="2" t="inlineStr">
        <is>
          <t>🔴 Infortunato/Dubbio</t>
        </is>
      </c>
    </row>
    <row r="182">
      <c r="A182" s="2" t="inlineStr">
        <is>
          <t>Parisi</t>
        </is>
      </c>
      <c r="B182" s="2" t="inlineStr">
        <is>
          <t>Fiorentina</t>
        </is>
      </c>
      <c r="C182" s="2" t="inlineStr">
        <is>
          <t>D</t>
        </is>
      </c>
      <c r="D182" s="2" t="inlineStr">
        <is>
          <t>Ds/E</t>
        </is>
      </c>
      <c r="E182" s="2" t="n">
        <v>4</v>
      </c>
      <c r="F182" s="2" t="n">
        <v>10</v>
      </c>
      <c r="G182" s="2" t="n">
        <v>0.85</v>
      </c>
      <c r="H182" s="2" t="n">
        <v>0.5</v>
      </c>
      <c r="I182" s="2" t="n">
        <v>8</v>
      </c>
      <c r="J182" s="2" t="inlineStr">
        <is>
          <t>Riserva</t>
        </is>
      </c>
      <c r="K182" s="2" t="n">
        <v>42</v>
      </c>
      <c r="L182" s="2" t="n">
        <v>5.89</v>
      </c>
      <c r="M182" s="2" t="n">
        <v>0</v>
      </c>
      <c r="N182" s="2" t="inlineStr">
        <is>
          <t>P</t>
        </is>
      </c>
      <c r="O182" s="2" t="n">
        <v>1</v>
      </c>
      <c r="P182" s="2" t="inlineStr">
        <is>
          <t>🔴 Infortunato/Dubbio</t>
        </is>
      </c>
    </row>
    <row r="183">
      <c r="A183" s="2" t="inlineStr">
        <is>
          <t>Pongracic</t>
        </is>
      </c>
      <c r="B183" s="2" t="inlineStr">
        <is>
          <t>Fiorentina</t>
        </is>
      </c>
      <c r="C183" s="2" t="inlineStr">
        <is>
          <t>D</t>
        </is>
      </c>
      <c r="D183" s="2" t="inlineStr">
        <is>
          <t>Dc</t>
        </is>
      </c>
      <c r="E183" s="2" t="n">
        <v>4</v>
      </c>
      <c r="F183" s="2" t="n">
        <v>8</v>
      </c>
      <c r="G183" s="2" t="n">
        <v>1</v>
      </c>
      <c r="H183" s="2" t="n">
        <v>0.5</v>
      </c>
      <c r="I183" s="2" t="n">
        <v>8</v>
      </c>
      <c r="J183" s="2" t="inlineStr">
        <is>
          <t>Riserva</t>
        </is>
      </c>
      <c r="K183" s="2" t="n">
        <v>68</v>
      </c>
      <c r="L183" s="2" t="n">
        <v>5.93</v>
      </c>
      <c r="M183" s="2" t="n">
        <v>0</v>
      </c>
      <c r="N183" s="2" t="inlineStr">
        <is>
          <t>P</t>
        </is>
      </c>
      <c r="O183" s="2" t="n">
        <v>1</v>
      </c>
      <c r="P183" s="2" t="inlineStr">
        <is>
          <t>🪑 Riserva Fissa (da fasciaFc)</t>
        </is>
      </c>
    </row>
    <row r="184">
      <c r="A184" s="2" t="inlineStr">
        <is>
          <t>Provstgaard</t>
        </is>
      </c>
      <c r="B184" s="2" t="inlineStr">
        <is>
          <t>Lazio</t>
        </is>
      </c>
      <c r="C184" s="2" t="inlineStr">
        <is>
          <t>D</t>
        </is>
      </c>
      <c r="D184" s="2" t="inlineStr">
        <is>
          <t>Dc</t>
        </is>
      </c>
      <c r="E184" s="2" t="n">
        <v>4</v>
      </c>
      <c r="F184" s="2" t="n">
        <v>13</v>
      </c>
      <c r="G184" s="2" t="n">
        <v>1.85</v>
      </c>
      <c r="H184" s="2" t="n">
        <v>0.5</v>
      </c>
      <c r="I184" s="2" t="n">
        <v>8</v>
      </c>
      <c r="J184" s="2" t="inlineStr">
        <is>
          <t>TitLowCost</t>
        </is>
      </c>
      <c r="K184" s="2" t="n">
        <v>76</v>
      </c>
      <c r="L184" s="2" t="n">
        <v>6.14</v>
      </c>
      <c r="M184" s="2" t="n">
        <v>0</v>
      </c>
      <c r="N184" s="2" t="inlineStr">
        <is>
          <t>P</t>
        </is>
      </c>
      <c r="O184" s="2" t="n">
        <v>1</v>
      </c>
      <c r="P184" s="2" t="inlineStr">
        <is>
          <t>Normale</t>
        </is>
      </c>
    </row>
    <row r="185">
      <c r="A185" s="2" t="inlineStr">
        <is>
          <t>Rensch</t>
        </is>
      </c>
      <c r="B185" s="2" t="inlineStr">
        <is>
          <t>Roma</t>
        </is>
      </c>
      <c r="C185" s="2" t="inlineStr">
        <is>
          <t>D</t>
        </is>
      </c>
      <c r="D185" s="2" t="inlineStr">
        <is>
          <t>B/Dd/E</t>
        </is>
      </c>
      <c r="E185" s="2" t="n">
        <v>4</v>
      </c>
      <c r="F185" s="2" t="n">
        <v>14</v>
      </c>
      <c r="G185" s="2" t="n">
        <v>1.5</v>
      </c>
      <c r="H185" s="2" t="n">
        <v>0.5</v>
      </c>
      <c r="I185" s="2" t="n">
        <v>8</v>
      </c>
      <c r="J185" s="2" t="inlineStr">
        <is>
          <t>Riserva</t>
        </is>
      </c>
      <c r="K185" s="2" t="n">
        <v>61</v>
      </c>
      <c r="L185" s="2" t="n">
        <v>5.99</v>
      </c>
      <c r="M185" s="2" t="n">
        <v>0</v>
      </c>
      <c r="N185" s="2" t="inlineStr">
        <is>
          <t>P</t>
        </is>
      </c>
      <c r="O185" s="2" t="n">
        <v>1</v>
      </c>
      <c r="P185" s="2" t="inlineStr">
        <is>
          <t>🔴 Infortunato/Dubbio</t>
        </is>
      </c>
    </row>
    <row r="186">
      <c r="A186" s="2" t="inlineStr">
        <is>
          <t>Rodriguez Ju.</t>
        </is>
      </c>
      <c r="B186" s="2" t="inlineStr">
        <is>
          <t>Cagliari</t>
        </is>
      </c>
      <c r="C186" s="2" t="inlineStr">
        <is>
          <t>D</t>
        </is>
      </c>
      <c r="D186" s="2" t="inlineStr">
        <is>
          <t>Ds/Dc</t>
        </is>
      </c>
      <c r="E186" s="2" t="n">
        <v>4</v>
      </c>
      <c r="F186" s="2" t="n">
        <v>14</v>
      </c>
      <c r="G186" s="2" t="n">
        <v>1.75</v>
      </c>
      <c r="H186" s="2" t="n">
        <v>0.5</v>
      </c>
      <c r="I186" s="2" t="n">
        <v>8</v>
      </c>
      <c r="J186" s="2" t="inlineStr">
        <is>
          <t>TitLowCost</t>
        </is>
      </c>
      <c r="K186" s="2" t="n">
        <v>88</v>
      </c>
      <c r="L186" s="2" t="n">
        <v>6.03</v>
      </c>
      <c r="M186" s="2" t="n">
        <v>0</v>
      </c>
      <c r="N186" s="2" t="inlineStr">
        <is>
          <t>T</t>
        </is>
      </c>
      <c r="O186" s="2" t="n">
        <v>1</v>
      </c>
      <c r="P186" s="2" t="inlineStr">
        <is>
          <t>Normale</t>
        </is>
      </c>
    </row>
    <row r="187">
      <c r="A187" s="2" t="inlineStr">
        <is>
          <t>Siebert</t>
        </is>
      </c>
      <c r="B187" s="2" t="inlineStr">
        <is>
          <t>Lecce</t>
        </is>
      </c>
      <c r="C187" s="2" t="inlineStr">
        <is>
          <t>D</t>
        </is>
      </c>
      <c r="D187" s="2" t="inlineStr">
        <is>
          <t>Dc</t>
        </is>
      </c>
      <c r="E187" s="2" t="n">
        <v>4</v>
      </c>
      <c r="F187" s="2" t="n">
        <v>12</v>
      </c>
      <c r="G187" s="2" t="n">
        <v>1.05</v>
      </c>
      <c r="H187" s="2" t="n">
        <v>0.5</v>
      </c>
      <c r="I187" s="2" t="n">
        <v>8</v>
      </c>
      <c r="J187" s="2" t="inlineStr">
        <is>
          <t>Riserva</t>
        </is>
      </c>
      <c r="K187" s="2" t="n">
        <v>68</v>
      </c>
      <c r="L187" s="2" t="n">
        <v>5.81</v>
      </c>
      <c r="M187" s="2" t="n">
        <v>0</v>
      </c>
      <c r="N187" s="2" t="inlineStr">
        <is>
          <t>P</t>
        </is>
      </c>
      <c r="O187" s="2" t="n">
        <v>1</v>
      </c>
      <c r="P187" s="2" t="inlineStr">
        <is>
          <t>🪑 Riserva Fissa (da fasciaFc)</t>
        </is>
      </c>
    </row>
    <row r="188">
      <c r="A188" s="2" t="inlineStr">
        <is>
          <t>Smolcic I.</t>
        </is>
      </c>
      <c r="B188" s="2" t="inlineStr">
        <is>
          <t>Como</t>
        </is>
      </c>
      <c r="C188" s="2" t="inlineStr">
        <is>
          <t>D</t>
        </is>
      </c>
      <c r="D188" s="2" t="inlineStr">
        <is>
          <t>Dd/E</t>
        </is>
      </c>
      <c r="E188" s="2" t="n">
        <v>4</v>
      </c>
      <c r="F188" s="2" t="n">
        <v>10</v>
      </c>
      <c r="G188" s="2" t="n">
        <v>1</v>
      </c>
      <c r="H188" s="2" t="n">
        <v>0.5</v>
      </c>
      <c r="I188" s="2" t="n">
        <v>8</v>
      </c>
      <c r="J188" s="2" t="inlineStr">
        <is>
          <t>Riserva</t>
        </is>
      </c>
      <c r="K188" s="2" t="n">
        <v>56</v>
      </c>
      <c r="L188" s="2" t="n">
        <v>5.94</v>
      </c>
      <c r="M188" s="2" t="n">
        <v>0</v>
      </c>
      <c r="N188" s="2" t="inlineStr">
        <is>
          <t>P</t>
        </is>
      </c>
      <c r="O188" s="2" t="n">
        <v>1</v>
      </c>
      <c r="P188" s="2" t="inlineStr">
        <is>
          <t>🪑 Riserva Fissa (da fasciaFc)</t>
        </is>
      </c>
    </row>
    <row r="189">
      <c r="A189" s="2" t="inlineStr">
        <is>
          <t>Terzic</t>
        </is>
      </c>
      <c r="B189" s="2" t="inlineStr">
        <is>
          <t>Frosinone</t>
        </is>
      </c>
      <c r="C189" s="2" t="inlineStr">
        <is>
          <t>D</t>
        </is>
      </c>
      <c r="D189" s="2" t="inlineStr">
        <is>
          <t>Ds/E</t>
        </is>
      </c>
      <c r="E189" s="2" t="n">
        <v>4</v>
      </c>
      <c r="F189" s="2" t="n">
        <v>8</v>
      </c>
      <c r="G189" s="2" t="n">
        <v>0.9</v>
      </c>
      <c r="H189" s="2" t="n">
        <v>0.5</v>
      </c>
      <c r="I189" s="2" t="n">
        <v>8</v>
      </c>
      <c r="J189" s="2" t="inlineStr">
        <is>
          <t>TitLowCost</t>
        </is>
      </c>
      <c r="K189" s="2" t="n">
        <v>76</v>
      </c>
      <c r="L189" s="2" t="n">
        <v>5.92</v>
      </c>
      <c r="M189" s="2" t="n">
        <v>0</v>
      </c>
      <c r="N189" s="2" t="inlineStr">
        <is>
          <t>P</t>
        </is>
      </c>
      <c r="O189" s="2" t="n">
        <v>1</v>
      </c>
      <c r="P189" s="2" t="inlineStr">
        <is>
          <t>Normale</t>
        </is>
      </c>
    </row>
    <row r="190">
      <c r="A190" s="2" t="inlineStr">
        <is>
          <t>Valenti</t>
        </is>
      </c>
      <c r="B190" s="2" t="inlineStr">
        <is>
          <t>Parma</t>
        </is>
      </c>
      <c r="C190" s="2" t="inlineStr">
        <is>
          <t>D</t>
        </is>
      </c>
      <c r="D190" s="2" t="inlineStr">
        <is>
          <t>Dc</t>
        </is>
      </c>
      <c r="E190" s="2" t="n">
        <v>4</v>
      </c>
      <c r="F190" s="2" t="n">
        <v>10</v>
      </c>
      <c r="G190" s="2" t="n">
        <v>1.2</v>
      </c>
      <c r="H190" s="2" t="n">
        <v>0.5</v>
      </c>
      <c r="I190" s="2" t="n">
        <v>8</v>
      </c>
      <c r="J190" s="2" t="inlineStr">
        <is>
          <t>Riserva</t>
        </is>
      </c>
      <c r="K190" s="2" t="n">
        <v>60</v>
      </c>
      <c r="L190" s="2" t="n">
        <v>5.88</v>
      </c>
      <c r="M190" s="2" t="n">
        <v>0</v>
      </c>
      <c r="N190" s="2" t="inlineStr">
        <is>
          <t>P</t>
        </is>
      </c>
      <c r="O190" s="2" t="n">
        <v>1</v>
      </c>
      <c r="P190" s="2" t="inlineStr">
        <is>
          <t>🪑 Riserva Fissa (da fasciaFc)</t>
        </is>
      </c>
    </row>
    <row r="191">
      <c r="A191" s="2" t="inlineStr">
        <is>
          <t>Vitik</t>
        </is>
      </c>
      <c r="B191" s="2" t="inlineStr">
        <is>
          <t>Bologna</t>
        </is>
      </c>
      <c r="C191" s="2" t="inlineStr">
        <is>
          <t>D</t>
        </is>
      </c>
      <c r="D191" s="2" t="inlineStr">
        <is>
          <t>Dc</t>
        </is>
      </c>
      <c r="E191" s="2" t="n">
        <v>4</v>
      </c>
      <c r="F191" s="2" t="n">
        <v>10</v>
      </c>
      <c r="G191" s="2" t="n">
        <v>1.05</v>
      </c>
      <c r="H191" s="2" t="n">
        <v>0.5</v>
      </c>
      <c r="I191" s="2" t="n">
        <v>8</v>
      </c>
      <c r="J191" s="2" t="inlineStr">
        <is>
          <t>Riserva</t>
        </is>
      </c>
      <c r="K191" s="2" t="n">
        <v>64</v>
      </c>
      <c r="L191" s="2" t="n">
        <v>5.83</v>
      </c>
      <c r="M191" s="2" t="n">
        <v>0</v>
      </c>
      <c r="N191" s="2" t="inlineStr">
        <is>
          <t>P</t>
        </is>
      </c>
      <c r="O191" s="2" t="n">
        <v>1</v>
      </c>
      <c r="P191" s="2" t="inlineStr">
        <is>
          <t>🪑 Riserva Fissa (da fasciaFc)</t>
        </is>
      </c>
    </row>
    <row r="192">
      <c r="A192" s="2" t="inlineStr">
        <is>
          <t>Walukiewicz</t>
        </is>
      </c>
      <c r="B192" s="2" t="inlineStr">
        <is>
          <t>Sassuolo</t>
        </is>
      </c>
      <c r="C192" s="2" t="inlineStr">
        <is>
          <t>D</t>
        </is>
      </c>
      <c r="D192" s="2" t="inlineStr">
        <is>
          <t>Dd/Dc</t>
        </is>
      </c>
      <c r="E192" s="2" t="n">
        <v>4</v>
      </c>
      <c r="F192" s="2" t="n">
        <v>10</v>
      </c>
      <c r="G192" s="2" t="n">
        <v>1.2</v>
      </c>
      <c r="H192" s="2" t="n">
        <v>0.5</v>
      </c>
      <c r="I192" s="2" t="n">
        <v>8</v>
      </c>
      <c r="J192" s="2" t="inlineStr">
        <is>
          <t>Riserva</t>
        </is>
      </c>
      <c r="K192" s="2" t="n">
        <v>49</v>
      </c>
      <c r="L192" s="2" t="n">
        <v>5.8</v>
      </c>
      <c r="M192" s="2" t="n">
        <v>0</v>
      </c>
      <c r="N192" s="2" t="inlineStr">
        <is>
          <t>P</t>
        </is>
      </c>
      <c r="O192" s="2" t="n">
        <v>1</v>
      </c>
      <c r="P192" s="2" t="inlineStr">
        <is>
          <t>🔴 Infortunato/Dubbio</t>
        </is>
      </c>
    </row>
    <row r="193">
      <c r="A193" s="2" t="inlineStr">
        <is>
          <t>Zanoli</t>
        </is>
      </c>
      <c r="B193" s="2" t="inlineStr">
        <is>
          <t>Udinese</t>
        </is>
      </c>
      <c r="C193" s="2" t="inlineStr">
        <is>
          <t>D</t>
        </is>
      </c>
      <c r="D193" s="2" t="inlineStr">
        <is>
          <t>Dd/E</t>
        </is>
      </c>
      <c r="E193" s="2" t="n">
        <v>4</v>
      </c>
      <c r="F193" s="2" t="n">
        <v>10</v>
      </c>
      <c r="G193" s="2" t="n">
        <v>1.15</v>
      </c>
      <c r="H193" s="2" t="n">
        <v>0.5</v>
      </c>
      <c r="I193" s="2" t="n">
        <v>8</v>
      </c>
      <c r="J193" s="2" t="inlineStr">
        <is>
          <t>Riserva</t>
        </is>
      </c>
      <c r="K193" s="2" t="n">
        <v>48</v>
      </c>
      <c r="L193" s="2" t="n">
        <v>5.93</v>
      </c>
      <c r="M193" s="2" t="n">
        <v>0</v>
      </c>
      <c r="N193" s="2" t="inlineStr">
        <is>
          <t>P</t>
        </is>
      </c>
      <c r="O193" s="2" t="n">
        <v>1</v>
      </c>
      <c r="P193" s="2" t="inlineStr">
        <is>
          <t>🔴 Infortunato/Dubbio</t>
        </is>
      </c>
    </row>
    <row r="194">
      <c r="A194" s="2" t="inlineStr">
        <is>
          <t>Akpoguma</t>
        </is>
      </c>
      <c r="B194" s="2" t="inlineStr">
        <is>
          <t>Frosinone</t>
        </is>
      </c>
      <c r="C194" s="2" t="inlineStr">
        <is>
          <t>D</t>
        </is>
      </c>
      <c r="D194" s="2" t="inlineStr">
        <is>
          <t>Dc</t>
        </is>
      </c>
      <c r="E194" s="2" t="n">
        <v>3</v>
      </c>
      <c r="F194" s="2" t="n">
        <v>6</v>
      </c>
      <c r="G194" s="2" t="n">
        <v>0.5</v>
      </c>
      <c r="H194" s="2" t="n">
        <v>0.5</v>
      </c>
      <c r="I194" s="2" t="n">
        <v>8</v>
      </c>
      <c r="J194" s="2" t="inlineStr">
        <is>
          <t>Jolly</t>
        </is>
      </c>
      <c r="K194" s="2" t="n">
        <v>72</v>
      </c>
      <c r="L194" s="2" t="n">
        <v>5.69</v>
      </c>
      <c r="M194" s="2" t="n">
        <v>0</v>
      </c>
      <c r="N194" s="2" t="inlineStr">
        <is>
          <t>P</t>
        </is>
      </c>
      <c r="O194" s="2" t="n">
        <v>1</v>
      </c>
      <c r="P194" s="2" t="inlineStr">
        <is>
          <t>Normale</t>
        </is>
      </c>
    </row>
    <row r="195">
      <c r="A195" s="2" t="inlineStr">
        <is>
          <t>Britschgi</t>
        </is>
      </c>
      <c r="B195" s="2" t="inlineStr">
        <is>
          <t>Parma</t>
        </is>
      </c>
      <c r="C195" s="2" t="inlineStr">
        <is>
          <t>D</t>
        </is>
      </c>
      <c r="D195" s="2" t="inlineStr">
        <is>
          <t>Dd/Ds/E</t>
        </is>
      </c>
      <c r="E195" s="2" t="n">
        <v>3</v>
      </c>
      <c r="F195" s="2" t="n">
        <v>10</v>
      </c>
      <c r="G195" s="2" t="n">
        <v>1.35</v>
      </c>
      <c r="H195" s="2" t="n">
        <v>0.5</v>
      </c>
      <c r="I195" s="2" t="n">
        <v>8</v>
      </c>
      <c r="J195" s="2" t="inlineStr">
        <is>
          <t>TitLowCost</t>
        </is>
      </c>
      <c r="K195" s="2" t="n">
        <v>90</v>
      </c>
      <c r="L195" s="2" t="n">
        <v>6.09</v>
      </c>
      <c r="M195" s="2" t="n">
        <v>0</v>
      </c>
      <c r="N195" s="2" t="inlineStr">
        <is>
          <t>T</t>
        </is>
      </c>
      <c r="O195" s="2" t="n">
        <v>1</v>
      </c>
      <c r="P195" s="2" t="inlineStr">
        <is>
          <t>Normale</t>
        </is>
      </c>
    </row>
    <row r="196">
      <c r="A196" s="2" t="inlineStr">
        <is>
          <t>Candè</t>
        </is>
      </c>
      <c r="B196" s="2" t="inlineStr">
        <is>
          <t>Sassuolo</t>
        </is>
      </c>
      <c r="C196" s="2" t="inlineStr">
        <is>
          <t>D</t>
        </is>
      </c>
      <c r="D196" s="2" t="inlineStr">
        <is>
          <t>Ds/Dc</t>
        </is>
      </c>
      <c r="E196" s="2" t="n">
        <v>3</v>
      </c>
      <c r="F196" s="2" t="n">
        <v>7</v>
      </c>
      <c r="G196" s="2" t="n">
        <v>0.75</v>
      </c>
      <c r="H196" s="2" t="n">
        <v>0.5</v>
      </c>
      <c r="I196" s="2" t="n">
        <v>8</v>
      </c>
      <c r="J196" s="2" t="inlineStr">
        <is>
          <t>Riserva</t>
        </is>
      </c>
      <c r="K196" s="2" t="n">
        <v>46</v>
      </c>
      <c r="L196" s="2" t="n">
        <v>5.91</v>
      </c>
      <c r="M196" s="2" t="n">
        <v>0</v>
      </c>
      <c r="N196" s="2" t="inlineStr">
        <is>
          <t>P</t>
        </is>
      </c>
      <c r="O196" s="2" t="n">
        <v>1</v>
      </c>
      <c r="P196" s="2" t="inlineStr">
        <is>
          <t>🔴 Infortunato/Dubbio</t>
        </is>
      </c>
    </row>
    <row r="197">
      <c r="A197" s="2" t="inlineStr">
        <is>
          <t>Carboni A.</t>
        </is>
      </c>
      <c r="B197" s="2" t="inlineStr">
        <is>
          <t>Monza</t>
        </is>
      </c>
      <c r="C197" s="2" t="inlineStr">
        <is>
          <t>D</t>
        </is>
      </c>
      <c r="D197" s="2" t="inlineStr">
        <is>
          <t>Ds/Dc</t>
        </is>
      </c>
      <c r="E197" s="2" t="n">
        <v>3</v>
      </c>
      <c r="F197" s="2" t="n">
        <v>9</v>
      </c>
      <c r="G197" s="2" t="n">
        <v>1.3</v>
      </c>
      <c r="H197" s="2" t="n">
        <v>0.5</v>
      </c>
      <c r="I197" s="2" t="n">
        <v>8</v>
      </c>
      <c r="J197" s="2" t="inlineStr">
        <is>
          <t>TitLowCost</t>
        </is>
      </c>
      <c r="K197" s="2" t="n">
        <v>88</v>
      </c>
      <c r="L197" s="2" t="n">
        <v>6.04</v>
      </c>
      <c r="M197" s="2" t="n">
        <v>0</v>
      </c>
      <c r="N197" s="2" t="inlineStr">
        <is>
          <t>T</t>
        </is>
      </c>
      <c r="O197" s="2" t="n">
        <v>1</v>
      </c>
      <c r="P197" s="2" t="inlineStr">
        <is>
          <t>Normale</t>
        </is>
      </c>
    </row>
    <row r="198">
      <c r="A198" s="2" t="inlineStr">
        <is>
          <t>Casale</t>
        </is>
      </c>
      <c r="B198" s="2" t="inlineStr">
        <is>
          <t>Bologna</t>
        </is>
      </c>
      <c r="C198" s="2" t="inlineStr">
        <is>
          <t>D</t>
        </is>
      </c>
      <c r="D198" s="2" t="inlineStr">
        <is>
          <t>Dc</t>
        </is>
      </c>
      <c r="E198" s="2" t="n">
        <v>3</v>
      </c>
      <c r="F198" s="2" t="n">
        <v>5</v>
      </c>
      <c r="G198" s="2" t="n">
        <v>1</v>
      </c>
      <c r="H198" s="2" t="n">
        <v>0.5</v>
      </c>
      <c r="I198" s="2" t="n">
        <v>8</v>
      </c>
      <c r="J198" s="2" t="inlineStr">
        <is>
          <t>Riserva</t>
        </is>
      </c>
      <c r="K198" s="2" t="n">
        <v>51</v>
      </c>
      <c r="L198" s="2" t="n">
        <v>5.94</v>
      </c>
      <c r="M198" s="2" t="n">
        <v>0</v>
      </c>
      <c r="N198" s="2" t="inlineStr">
        <is>
          <t>P</t>
        </is>
      </c>
      <c r="O198" s="2" t="n">
        <v>0</v>
      </c>
      <c r="P198" s="2" t="inlineStr">
        <is>
          <t>🔴 Infortunato/Dubbio</t>
        </is>
      </c>
    </row>
    <row r="199">
      <c r="A199" s="2" t="inlineStr">
        <is>
          <t>Drameh</t>
        </is>
      </c>
      <c r="B199" s="2" t="inlineStr">
        <is>
          <t>Genoa</t>
        </is>
      </c>
      <c r="C199" s="2" t="inlineStr">
        <is>
          <t>D</t>
        </is>
      </c>
      <c r="D199" s="2" t="inlineStr">
        <is>
          <t>Dd/Ds/E</t>
        </is>
      </c>
      <c r="E199" s="2" t="n">
        <v>3</v>
      </c>
      <c r="F199" s="2" t="n">
        <v>10</v>
      </c>
      <c r="G199" s="2" t="n">
        <v>1.6</v>
      </c>
      <c r="H199" s="2" t="n">
        <v>1.85</v>
      </c>
      <c r="I199" s="2" t="n">
        <v>7</v>
      </c>
      <c r="J199" s="2" t="inlineStr">
        <is>
          <t>OttimoTit</t>
        </is>
      </c>
      <c r="K199" s="2" t="n">
        <v>88</v>
      </c>
      <c r="L199" s="2" t="n">
        <v>6.14</v>
      </c>
      <c r="M199" s="2" t="n">
        <v>0</v>
      </c>
      <c r="N199" s="2" t="inlineStr">
        <is>
          <t>T</t>
        </is>
      </c>
      <c r="O199" s="2" t="n">
        <v>1</v>
      </c>
      <c r="P199" s="2" t="inlineStr">
        <is>
          <t>Normale</t>
        </is>
      </c>
    </row>
    <row r="200">
      <c r="A200" s="2" t="inlineStr">
        <is>
          <t>Ebosse</t>
        </is>
      </c>
      <c r="B200" s="2" t="inlineStr">
        <is>
          <t>Udinese</t>
        </is>
      </c>
      <c r="C200" s="2" t="inlineStr">
        <is>
          <t>D</t>
        </is>
      </c>
      <c r="D200" s="2" t="inlineStr">
        <is>
          <t>Ds/Dc</t>
        </is>
      </c>
      <c r="E200" s="2" t="n">
        <v>3</v>
      </c>
      <c r="F200" s="2" t="n">
        <v>5</v>
      </c>
      <c r="G200" s="2" t="n">
        <v>1</v>
      </c>
      <c r="H200" s="2" t="n">
        <v>0.5</v>
      </c>
      <c r="I200" s="2" t="n">
        <v>8</v>
      </c>
      <c r="J200" s="2" t="inlineStr">
        <is>
          <t>Riserva</t>
        </is>
      </c>
      <c r="K200" s="2" t="n">
        <v>60</v>
      </c>
      <c r="L200" s="2" t="n">
        <v>5.87</v>
      </c>
      <c r="M200" s="2" t="n">
        <v>0</v>
      </c>
      <c r="N200" s="2" t="inlineStr">
        <is>
          <t>P</t>
        </is>
      </c>
      <c r="O200" s="2" t="n">
        <v>1</v>
      </c>
      <c r="P200" s="2" t="inlineStr">
        <is>
          <t>🪑 Riserva Fissa (da fasciaFc)</t>
        </is>
      </c>
    </row>
    <row r="201">
      <c r="A201" s="2" t="inlineStr">
        <is>
          <t>Estupinan</t>
        </is>
      </c>
      <c r="B201" s="2" t="inlineStr">
        <is>
          <t>Milan</t>
        </is>
      </c>
      <c r="C201" s="2" t="inlineStr">
        <is>
          <t>D</t>
        </is>
      </c>
      <c r="D201" s="2" t="inlineStr">
        <is>
          <t>Ds/E</t>
        </is>
      </c>
      <c r="E201" s="2" t="n">
        <v>3</v>
      </c>
      <c r="F201" s="2" t="n">
        <v>13</v>
      </c>
      <c r="G201" s="2" t="n">
        <v>1.1</v>
      </c>
      <c r="H201" s="2" t="n">
        <v>0.5</v>
      </c>
      <c r="I201" s="2" t="n">
        <v>8</v>
      </c>
      <c r="J201" s="2" t="inlineStr">
        <is>
          <t>TitLowCost</t>
        </is>
      </c>
      <c r="K201" s="2" t="n">
        <v>84</v>
      </c>
      <c r="L201" s="2" t="n">
        <v>6.14</v>
      </c>
      <c r="M201" s="2" t="n">
        <v>0</v>
      </c>
      <c r="N201" s="2" t="inlineStr">
        <is>
          <t>B</t>
        </is>
      </c>
      <c r="O201" s="2" t="n">
        <v>1</v>
      </c>
      <c r="P201" s="2" t="inlineStr">
        <is>
          <t>🟡 Ballottaggio</t>
        </is>
      </c>
    </row>
    <row r="202">
      <c r="A202" s="2" t="inlineStr">
        <is>
          <t>Franjic</t>
        </is>
      </c>
      <c r="B202" s="2" t="inlineStr">
        <is>
          <t>Venezia</t>
        </is>
      </c>
      <c r="C202" s="2" t="inlineStr">
        <is>
          <t>D</t>
        </is>
      </c>
      <c r="D202" s="2" t="inlineStr">
        <is>
          <t>B/Ds/E</t>
        </is>
      </c>
      <c r="E202" s="2" t="n">
        <v>3</v>
      </c>
      <c r="F202" s="2" t="n">
        <v>7</v>
      </c>
      <c r="G202" s="2" t="n">
        <v>1.25</v>
      </c>
      <c r="H202" s="2" t="n">
        <v>0.5</v>
      </c>
      <c r="I202" s="2" t="n">
        <v>8</v>
      </c>
      <c r="J202" s="2" t="inlineStr">
        <is>
          <t>Jolly</t>
        </is>
      </c>
      <c r="K202" s="2" t="n">
        <v>75</v>
      </c>
      <c r="L202" s="2" t="n">
        <v>5.85</v>
      </c>
      <c r="M202" s="2" t="n">
        <v>0</v>
      </c>
      <c r="N202" s="2" t="inlineStr">
        <is>
          <t>P</t>
        </is>
      </c>
      <c r="O202" s="2" t="n">
        <v>1</v>
      </c>
      <c r="P202" s="2" t="inlineStr">
        <is>
          <t>🔴 Infortunato/Dubbio</t>
        </is>
      </c>
    </row>
    <row r="203">
      <c r="A203" s="2" t="inlineStr">
        <is>
          <t>Halhal</t>
        </is>
      </c>
      <c r="B203" s="2" t="inlineStr">
        <is>
          <t>Venezia</t>
        </is>
      </c>
      <c r="C203" s="2" t="inlineStr">
        <is>
          <t>D</t>
        </is>
      </c>
      <c r="D203" s="2" t="inlineStr">
        <is>
          <t>Dc</t>
        </is>
      </c>
      <c r="E203" s="2" t="n">
        <v>3</v>
      </c>
      <c r="F203" s="2" t="n">
        <v>10</v>
      </c>
      <c r="G203" s="2" t="n">
        <v>1</v>
      </c>
      <c r="H203" s="2" t="n">
        <v>0.5</v>
      </c>
      <c r="I203" s="2" t="n">
        <v>8</v>
      </c>
      <c r="J203" s="2" t="inlineStr">
        <is>
          <t>Riserva</t>
        </is>
      </c>
      <c r="K203" s="2" t="n">
        <v>52</v>
      </c>
      <c r="L203" s="2" t="n">
        <v>5.59</v>
      </c>
      <c r="M203" s="2" t="n">
        <v>0</v>
      </c>
      <c r="N203" s="2" t="inlineStr">
        <is>
          <t>P</t>
        </is>
      </c>
      <c r="O203" s="2" t="n">
        <v>1</v>
      </c>
      <c r="P203" s="2" t="inlineStr">
        <is>
          <t>🪑 Riserva Fissa (da fasciaFc)</t>
        </is>
      </c>
    </row>
    <row r="204">
      <c r="A204" s="2" t="inlineStr">
        <is>
          <t>Helland</t>
        </is>
      </c>
      <c r="B204" s="2" t="inlineStr">
        <is>
          <t>Bologna</t>
        </is>
      </c>
      <c r="C204" s="2" t="inlineStr">
        <is>
          <t>D</t>
        </is>
      </c>
      <c r="D204" s="2" t="inlineStr">
        <is>
          <t>Dd/Dc</t>
        </is>
      </c>
      <c r="E204" s="2" t="n">
        <v>3</v>
      </c>
      <c r="F204" s="2" t="n">
        <v>12</v>
      </c>
      <c r="G204" s="2" t="n">
        <v>1.3</v>
      </c>
      <c r="H204" s="2" t="n">
        <v>0.5</v>
      </c>
      <c r="I204" s="2" t="n">
        <v>8</v>
      </c>
      <c r="J204" s="2" t="inlineStr">
        <is>
          <t>TitLowCost</t>
        </is>
      </c>
      <c r="K204" s="2" t="n">
        <v>76</v>
      </c>
      <c r="L204" s="2" t="n">
        <v>6.08</v>
      </c>
      <c r="M204" s="2" t="n">
        <v>0</v>
      </c>
      <c r="N204" s="2" t="inlineStr">
        <is>
          <t>P</t>
        </is>
      </c>
      <c r="O204" s="2" t="n">
        <v>1</v>
      </c>
      <c r="P204" s="2" t="inlineStr">
        <is>
          <t>Normale</t>
        </is>
      </c>
    </row>
    <row r="205">
      <c r="A205" s="2" t="inlineStr">
        <is>
          <t>Idrissi R.</t>
        </is>
      </c>
      <c r="B205" s="2" t="inlineStr">
        <is>
          <t>Cagliari</t>
        </is>
      </c>
      <c r="C205" s="2" t="inlineStr">
        <is>
          <t>D</t>
        </is>
      </c>
      <c r="D205" s="2" t="inlineStr">
        <is>
          <t>Ds/E</t>
        </is>
      </c>
      <c r="E205" s="2" t="n">
        <v>3</v>
      </c>
      <c r="F205" s="2" t="n">
        <v>3</v>
      </c>
      <c r="G205" s="2" t="n">
        <v>0.85</v>
      </c>
      <c r="H205" s="2" t="n">
        <v>0.5</v>
      </c>
      <c r="I205" s="2" t="n">
        <v>8</v>
      </c>
      <c r="J205" s="2" t="inlineStr">
        <is>
          <t>Riserva</t>
        </is>
      </c>
      <c r="K205" s="2" t="n">
        <v>55</v>
      </c>
      <c r="L205" s="2" t="n">
        <v>5.96</v>
      </c>
      <c r="M205" s="2" t="n">
        <v>0</v>
      </c>
      <c r="N205" s="2" t="inlineStr">
        <is>
          <t>P</t>
        </is>
      </c>
      <c r="O205" s="2" t="n">
        <v>1</v>
      </c>
      <c r="P205" s="2" t="inlineStr">
        <is>
          <t>🔴 Infortunato/Dubbio</t>
        </is>
      </c>
    </row>
    <row r="206">
      <c r="A206" s="2" t="inlineStr">
        <is>
          <t>Joao Mario</t>
        </is>
      </c>
      <c r="B206" s="2" t="inlineStr">
        <is>
          <t>Fiorentina</t>
        </is>
      </c>
      <c r="C206" s="2" t="inlineStr">
        <is>
          <t>D</t>
        </is>
      </c>
      <c r="D206" s="2" t="inlineStr">
        <is>
          <t>Dd/E</t>
        </is>
      </c>
      <c r="E206" s="2" t="n">
        <v>3</v>
      </c>
      <c r="F206" s="2" t="n">
        <v>12</v>
      </c>
      <c r="G206" s="2" t="n">
        <v>1.3</v>
      </c>
      <c r="H206" s="2" t="n">
        <v>0.5</v>
      </c>
      <c r="I206" s="2" t="n">
        <v>8</v>
      </c>
      <c r="J206" s="2" t="inlineStr">
        <is>
          <t>Jolly</t>
        </is>
      </c>
      <c r="K206" s="2" t="n">
        <v>72</v>
      </c>
      <c r="L206" s="2" t="n">
        <v>6.01</v>
      </c>
      <c r="M206" s="2" t="n">
        <v>0</v>
      </c>
      <c r="N206" s="2" t="inlineStr">
        <is>
          <t>P</t>
        </is>
      </c>
      <c r="O206" s="2" t="n">
        <v>1</v>
      </c>
      <c r="P206" s="2" t="inlineStr">
        <is>
          <t>Normale</t>
        </is>
      </c>
    </row>
    <row r="207">
      <c r="A207" s="2" t="inlineStr">
        <is>
          <t>Kambwala</t>
        </is>
      </c>
      <c r="B207" s="2" t="inlineStr">
        <is>
          <t>Como</t>
        </is>
      </c>
      <c r="C207" s="2" t="inlineStr">
        <is>
          <t>D</t>
        </is>
      </c>
      <c r="D207" s="2" t="inlineStr">
        <is>
          <t>Dd/Dc</t>
        </is>
      </c>
      <c r="E207" s="2" t="n">
        <v>3</v>
      </c>
      <c r="F207" s="2" t="n">
        <v>8</v>
      </c>
      <c r="G207" s="2" t="n">
        <v>1.05</v>
      </c>
      <c r="H207" s="2" t="n">
        <v>0.5</v>
      </c>
      <c r="I207" s="2" t="n">
        <v>8</v>
      </c>
      <c r="J207" s="2" t="inlineStr">
        <is>
          <t>TitLowCost</t>
        </is>
      </c>
      <c r="K207" s="2" t="n">
        <v>76</v>
      </c>
      <c r="L207" s="2" t="n">
        <v>6.13</v>
      </c>
      <c r="M207" s="2" t="n">
        <v>0</v>
      </c>
      <c r="N207" s="2" t="inlineStr">
        <is>
          <t>P</t>
        </is>
      </c>
      <c r="O207" s="2" t="n">
        <v>1</v>
      </c>
      <c r="P207" s="2" t="inlineStr">
        <is>
          <t>Normale</t>
        </is>
      </c>
    </row>
    <row r="208">
      <c r="A208" s="2" t="inlineStr">
        <is>
          <t>Kouadio</t>
        </is>
      </c>
      <c r="B208" s="2" t="inlineStr">
        <is>
          <t>Monza</t>
        </is>
      </c>
      <c r="C208" s="2" t="inlineStr">
        <is>
          <t>D</t>
        </is>
      </c>
      <c r="D208" s="2" t="inlineStr">
        <is>
          <t>Dd/Dc</t>
        </is>
      </c>
      <c r="E208" s="2" t="n">
        <v>3</v>
      </c>
      <c r="F208" s="2" t="n">
        <v>14</v>
      </c>
      <c r="G208" s="2" t="n">
        <v>1.15</v>
      </c>
      <c r="H208" s="2" t="n">
        <v>0.5</v>
      </c>
      <c r="I208" s="2" t="n">
        <v>8</v>
      </c>
      <c r="J208" s="2" t="inlineStr">
        <is>
          <t>Riserva</t>
        </is>
      </c>
      <c r="K208" s="2" t="n">
        <v>65</v>
      </c>
      <c r="L208" s="2" t="n">
        <v>5.69</v>
      </c>
      <c r="M208" s="2" t="n">
        <v>0</v>
      </c>
      <c r="N208" s="2" t="inlineStr">
        <is>
          <t>P</t>
        </is>
      </c>
      <c r="O208" s="2" t="n">
        <v>1</v>
      </c>
      <c r="P208" s="2" t="inlineStr">
        <is>
          <t>🪑 Riserva Fissa (da fasciaFc)</t>
        </is>
      </c>
    </row>
    <row r="209">
      <c r="A209" s="2" t="inlineStr">
        <is>
          <t>Lucchesi</t>
        </is>
      </c>
      <c r="B209" s="2" t="inlineStr">
        <is>
          <t>Monza</t>
        </is>
      </c>
      <c r="C209" s="2" t="inlineStr">
        <is>
          <t>D</t>
        </is>
      </c>
      <c r="D209" s="2" t="inlineStr">
        <is>
          <t>Dc</t>
        </is>
      </c>
      <c r="E209" s="2" t="n">
        <v>3</v>
      </c>
      <c r="F209" s="2" t="n">
        <v>11</v>
      </c>
      <c r="G209" s="2" t="n">
        <v>1.15</v>
      </c>
      <c r="H209" s="2" t="n">
        <v>0.5</v>
      </c>
      <c r="I209" s="2" t="n">
        <v>8</v>
      </c>
      <c r="J209" s="2" t="inlineStr">
        <is>
          <t>TitLowCost</t>
        </is>
      </c>
      <c r="K209" s="2" t="n">
        <v>86</v>
      </c>
      <c r="L209" s="2" t="n">
        <v>5.86</v>
      </c>
      <c r="M209" s="2" t="n">
        <v>0</v>
      </c>
      <c r="N209" s="2" t="inlineStr">
        <is>
          <t>B</t>
        </is>
      </c>
      <c r="O209" s="2" t="n">
        <v>1</v>
      </c>
      <c r="P209" s="2" t="inlineStr">
        <is>
          <t>🟡 Ballottaggio</t>
        </is>
      </c>
    </row>
    <row r="210">
      <c r="A210" s="2" t="inlineStr">
        <is>
          <t>Odenthal</t>
        </is>
      </c>
      <c r="B210" s="2" t="inlineStr">
        <is>
          <t>Sassuolo</t>
        </is>
      </c>
      <c r="C210" s="2" t="inlineStr">
        <is>
          <t>D</t>
        </is>
      </c>
      <c r="D210" s="2" t="inlineStr">
        <is>
          <t>Dc</t>
        </is>
      </c>
      <c r="E210" s="2" t="n">
        <v>3</v>
      </c>
      <c r="F210" s="2" t="n">
        <v>8</v>
      </c>
      <c r="G210" s="2" t="n">
        <v>1.15</v>
      </c>
      <c r="H210" s="2" t="n">
        <v>0.5</v>
      </c>
      <c r="I210" s="2" t="n">
        <v>8</v>
      </c>
      <c r="J210" s="2" t="inlineStr">
        <is>
          <t>Riserva</t>
        </is>
      </c>
      <c r="K210" s="2" t="n">
        <v>60</v>
      </c>
      <c r="L210" s="2" t="n">
        <v>5.81</v>
      </c>
      <c r="M210" s="2" t="n">
        <v>0</v>
      </c>
      <c r="N210" s="2" t="inlineStr">
        <is>
          <t>P</t>
        </is>
      </c>
      <c r="O210" s="2" t="n">
        <v>1</v>
      </c>
      <c r="P210" s="2" t="inlineStr">
        <is>
          <t>🪑 Riserva Fissa (da fasciaFc)</t>
        </is>
      </c>
    </row>
    <row r="211">
      <c r="A211" s="2" t="inlineStr">
        <is>
          <t>Palma</t>
        </is>
      </c>
      <c r="B211" s="2" t="inlineStr">
        <is>
          <t>Udinese</t>
        </is>
      </c>
      <c r="C211" s="2" t="inlineStr">
        <is>
          <t>D</t>
        </is>
      </c>
      <c r="D211" s="2" t="inlineStr">
        <is>
          <t>Dc</t>
        </is>
      </c>
      <c r="E211" s="2" t="n">
        <v>3</v>
      </c>
      <c r="F211" s="2" t="n">
        <v>11</v>
      </c>
      <c r="G211" s="2" t="n">
        <v>1.3</v>
      </c>
      <c r="H211" s="2" t="n">
        <v>0.5</v>
      </c>
      <c r="I211" s="2" t="n">
        <v>8</v>
      </c>
      <c r="J211" s="2" t="inlineStr">
        <is>
          <t>TitLowCost</t>
        </is>
      </c>
      <c r="K211" s="2" t="n">
        <v>81</v>
      </c>
      <c r="L211" s="2" t="n">
        <v>6.09</v>
      </c>
      <c r="M211" s="2" t="n">
        <v>0</v>
      </c>
      <c r="N211" s="2" t="inlineStr">
        <is>
          <t>B</t>
        </is>
      </c>
      <c r="O211" s="2" t="n">
        <v>1</v>
      </c>
      <c r="P211" s="2" t="inlineStr">
        <is>
          <t>🔴 Infortunato/Dubbio</t>
        </is>
      </c>
    </row>
    <row r="212">
      <c r="A212" s="2" t="inlineStr">
        <is>
          <t>Ranieri L.</t>
        </is>
      </c>
      <c r="B212" s="2" t="inlineStr">
        <is>
          <t>Fiorentina</t>
        </is>
      </c>
      <c r="C212" s="2" t="inlineStr">
        <is>
          <t>D</t>
        </is>
      </c>
      <c r="D212" s="2" t="inlineStr">
        <is>
          <t>Ds/Dc</t>
        </is>
      </c>
      <c r="E212" s="2" t="n">
        <v>3</v>
      </c>
      <c r="F212" s="2" t="n">
        <v>10</v>
      </c>
      <c r="G212" s="2" t="n">
        <v>1.3</v>
      </c>
      <c r="H212" s="2" t="n">
        <v>0.5</v>
      </c>
      <c r="I212" s="2" t="n">
        <v>8</v>
      </c>
      <c r="J212" s="2" t="inlineStr">
        <is>
          <t>Riserva</t>
        </is>
      </c>
      <c r="K212" s="2" t="n">
        <v>60</v>
      </c>
      <c r="L212" s="2" t="n">
        <v>5.89</v>
      </c>
      <c r="M212" s="2" t="n">
        <v>0</v>
      </c>
      <c r="N212" s="2" t="inlineStr">
        <is>
          <t>P</t>
        </is>
      </c>
      <c r="O212" s="2" t="n">
        <v>1</v>
      </c>
      <c r="P212" s="2" t="inlineStr">
        <is>
          <t>🪑 Riserva Fissa (da fasciaFc)</t>
        </is>
      </c>
    </row>
    <row r="213">
      <c r="A213" s="2" t="inlineStr">
        <is>
          <t>Schingtienne</t>
        </is>
      </c>
      <c r="B213" s="2" t="inlineStr">
        <is>
          <t>Venezia</t>
        </is>
      </c>
      <c r="C213" s="2" t="inlineStr">
        <is>
          <t>D</t>
        </is>
      </c>
      <c r="D213" s="2" t="inlineStr">
        <is>
          <t>Dc</t>
        </is>
      </c>
      <c r="E213" s="2" t="n">
        <v>3</v>
      </c>
      <c r="F213" s="2" t="n">
        <v>10</v>
      </c>
      <c r="G213" s="2" t="n">
        <v>1</v>
      </c>
      <c r="H213" s="2" t="n">
        <v>0.5</v>
      </c>
      <c r="I213" s="2" t="n">
        <v>8</v>
      </c>
      <c r="J213" s="2" t="inlineStr">
        <is>
          <t>TitLowCost</t>
        </is>
      </c>
      <c r="K213" s="2" t="n">
        <v>92</v>
      </c>
      <c r="L213" s="2" t="n">
        <v>5.81</v>
      </c>
      <c r="M213" s="2" t="n">
        <v>0</v>
      </c>
      <c r="N213" s="2" t="inlineStr">
        <is>
          <t>T</t>
        </is>
      </c>
      <c r="O213" s="2" t="n">
        <v>1</v>
      </c>
      <c r="P213" s="2" t="inlineStr">
        <is>
          <t>Normale</t>
        </is>
      </c>
    </row>
    <row r="214">
      <c r="A214" s="2" t="inlineStr">
        <is>
          <t>Sverko</t>
        </is>
      </c>
      <c r="B214" s="2" t="inlineStr">
        <is>
          <t>Venezia</t>
        </is>
      </c>
      <c r="C214" s="2" t="inlineStr">
        <is>
          <t>D</t>
        </is>
      </c>
      <c r="D214" s="2" t="inlineStr">
        <is>
          <t>Dc;Ds</t>
        </is>
      </c>
      <c r="E214" s="2" t="n">
        <v>3</v>
      </c>
      <c r="F214" s="2" t="n">
        <v>7</v>
      </c>
      <c r="G214" s="2" t="n">
        <v>0.5</v>
      </c>
      <c r="H214" s="2" t="n">
        <v>0.5</v>
      </c>
      <c r="I214" s="2" t="n">
        <v>8</v>
      </c>
      <c r="J214" s="2" t="inlineStr">
        <is>
          <t>Riserva</t>
        </is>
      </c>
      <c r="K214" s="2" t="n">
        <v>45</v>
      </c>
      <c r="L214" s="2" t="n">
        <v>5.59</v>
      </c>
      <c r="M214" s="2" t="n">
        <v>0</v>
      </c>
      <c r="N214" s="2" t="inlineStr">
        <is>
          <t>P</t>
        </is>
      </c>
      <c r="O214" s="2" t="n">
        <v>0</v>
      </c>
      <c r="P214" s="2" t="inlineStr">
        <is>
          <t>🔴 Infortunato/Dubbio</t>
        </is>
      </c>
    </row>
    <row r="215">
      <c r="A215" s="2" t="inlineStr">
        <is>
          <t>Tchato</t>
        </is>
      </c>
      <c r="B215" s="2" t="inlineStr">
        <is>
          <t>Frosinone</t>
        </is>
      </c>
      <c r="C215" s="2" t="inlineStr">
        <is>
          <t>D</t>
        </is>
      </c>
      <c r="D215" s="2" t="inlineStr">
        <is>
          <t>Dd;E</t>
        </is>
      </c>
      <c r="E215" s="2" t="n">
        <v>3</v>
      </c>
      <c r="F215" s="2" t="n">
        <v>8</v>
      </c>
      <c r="G215" s="2" t="n">
        <v>0.5</v>
      </c>
      <c r="H215" s="2" t="n">
        <v>0.5</v>
      </c>
      <c r="I215" s="2" t="n">
        <v>8</v>
      </c>
      <c r="J215" s="2" t="inlineStr">
        <is>
          <t>TitLowCost</t>
        </is>
      </c>
      <c r="K215" s="2" t="n">
        <v>76</v>
      </c>
      <c r="L215" s="2" t="n">
        <v>5.83</v>
      </c>
      <c r="M215" s="2" t="n">
        <v>0</v>
      </c>
      <c r="N215" s="2" t="inlineStr">
        <is>
          <t>P</t>
        </is>
      </c>
      <c r="O215" s="2" t="n">
        <v>0</v>
      </c>
      <c r="P215" s="2" t="inlineStr">
        <is>
          <t>Normale</t>
        </is>
      </c>
    </row>
    <row r="216">
      <c r="A216" s="2" t="inlineStr">
        <is>
          <t>Troilo</t>
        </is>
      </c>
      <c r="B216" s="2" t="inlineStr">
        <is>
          <t>Parma</t>
        </is>
      </c>
      <c r="C216" s="2" t="inlineStr">
        <is>
          <t>D</t>
        </is>
      </c>
      <c r="D216" s="2" t="inlineStr">
        <is>
          <t>Dc</t>
        </is>
      </c>
      <c r="E216" s="2" t="n">
        <v>3</v>
      </c>
      <c r="F216" s="2" t="n">
        <v>14</v>
      </c>
      <c r="G216" s="2" t="n">
        <v>1.45</v>
      </c>
      <c r="H216" s="2" t="n">
        <v>0.5</v>
      </c>
      <c r="I216" s="2" t="n">
        <v>8</v>
      </c>
      <c r="J216" s="2" t="inlineStr">
        <is>
          <t>TitLowCost</t>
        </is>
      </c>
      <c r="K216" s="2" t="n">
        <v>92</v>
      </c>
      <c r="L216" s="2" t="n">
        <v>6.01</v>
      </c>
      <c r="M216" s="2" t="n">
        <v>0</v>
      </c>
      <c r="N216" s="2" t="inlineStr">
        <is>
          <t>T</t>
        </is>
      </c>
      <c r="O216" s="2" t="n">
        <v>1</v>
      </c>
      <c r="P216" s="2" t="inlineStr">
        <is>
          <t>Normale</t>
        </is>
      </c>
    </row>
    <row r="217">
      <c r="A217" s="2" t="inlineStr">
        <is>
          <t>Abankwah</t>
        </is>
      </c>
      <c r="B217" s="2" t="inlineStr">
        <is>
          <t>Udinese</t>
        </is>
      </c>
      <c r="C217" s="2" t="inlineStr">
        <is>
          <t>D</t>
        </is>
      </c>
      <c r="D217" s="2" t="inlineStr">
        <is>
          <t>Dd/Dc</t>
        </is>
      </c>
      <c r="E217" s="2" t="n">
        <v>2</v>
      </c>
      <c r="F217" s="2" t="n">
        <v>10</v>
      </c>
      <c r="G217" s="2" t="n">
        <v>1.25</v>
      </c>
      <c r="H217" s="2" t="n">
        <v>0.5</v>
      </c>
      <c r="I217" s="2" t="n">
        <v>8</v>
      </c>
      <c r="J217" s="2" t="inlineStr">
        <is>
          <t>Riserva</t>
        </is>
      </c>
      <c r="K217" s="2" t="n">
        <v>68</v>
      </c>
      <c r="L217" s="2" t="n">
        <v>5.87</v>
      </c>
      <c r="M217" s="2" t="n">
        <v>0</v>
      </c>
      <c r="N217" s="2" t="inlineStr">
        <is>
          <t>P</t>
        </is>
      </c>
      <c r="O217" s="2" t="n">
        <v>1</v>
      </c>
      <c r="P217" s="2" t="inlineStr">
        <is>
          <t>🪑 Riserva Fissa (da fasciaFc)</t>
        </is>
      </c>
    </row>
    <row r="218">
      <c r="A218" s="2" t="inlineStr">
        <is>
          <t>Alhassane</t>
        </is>
      </c>
      <c r="B218" s="2" t="inlineStr">
        <is>
          <t>Bologna</t>
        </is>
      </c>
      <c r="C218" s="2" t="inlineStr">
        <is>
          <t>D</t>
        </is>
      </c>
      <c r="D218" s="2" t="inlineStr">
        <is>
          <t>Ds/E</t>
        </is>
      </c>
      <c r="E218" s="2" t="n">
        <v>2</v>
      </c>
      <c r="F218" s="2" t="n">
        <v>6</v>
      </c>
      <c r="G218" s="2" t="n">
        <v>0.95</v>
      </c>
      <c r="H218" s="2" t="n">
        <v>0.5</v>
      </c>
      <c r="I218" s="2" t="n">
        <v>8</v>
      </c>
      <c r="J218" s="2" t="inlineStr">
        <is>
          <t>TitLowCost</t>
        </is>
      </c>
      <c r="K218" s="2" t="n">
        <v>84</v>
      </c>
      <c r="L218" s="2" t="n">
        <v>6.09</v>
      </c>
      <c r="M218" s="2" t="n">
        <v>0</v>
      </c>
      <c r="N218" s="2" t="inlineStr">
        <is>
          <t>B</t>
        </is>
      </c>
      <c r="O218" s="2" t="n">
        <v>1</v>
      </c>
      <c r="P218" s="2" t="inlineStr">
        <is>
          <t>🟡 Ballottaggio</t>
        </is>
      </c>
    </row>
    <row r="219">
      <c r="A219" s="2" t="inlineStr">
        <is>
          <t>Aurelio</t>
        </is>
      </c>
      <c r="B219" s="2" t="inlineStr">
        <is>
          <t>Cagliari</t>
        </is>
      </c>
      <c r="C219" s="2" t="inlineStr">
        <is>
          <t>D</t>
        </is>
      </c>
      <c r="D219" s="2" t="inlineStr">
        <is>
          <t>Ds;E</t>
        </is>
      </c>
      <c r="E219" s="2" t="n">
        <v>2</v>
      </c>
      <c r="F219" s="2" t="n">
        <v>5</v>
      </c>
      <c r="G219" s="2" t="n">
        <v>0.5</v>
      </c>
      <c r="H219" s="2" t="n">
        <v>0.5</v>
      </c>
      <c r="I219" s="2" t="n">
        <v>8</v>
      </c>
      <c r="J219" s="2" t="inlineStr">
        <is>
          <t>Jolly</t>
        </is>
      </c>
      <c r="K219" s="2" t="n">
        <v>74</v>
      </c>
      <c r="L219" s="2" t="n">
        <v>6.16</v>
      </c>
      <c r="M219" s="2" t="n">
        <v>0</v>
      </c>
      <c r="N219" s="2" t="inlineStr">
        <is>
          <t>P</t>
        </is>
      </c>
      <c r="O219" s="2" t="n">
        <v>0</v>
      </c>
      <c r="P219" s="2" t="inlineStr">
        <is>
          <t>Normale</t>
        </is>
      </c>
    </row>
    <row r="220">
      <c r="A220" s="2" t="inlineStr">
        <is>
          <t>Bakoune</t>
        </is>
      </c>
      <c r="B220" s="2" t="inlineStr">
        <is>
          <t>Monza</t>
        </is>
      </c>
      <c r="C220" s="2" t="inlineStr">
        <is>
          <t>D</t>
        </is>
      </c>
      <c r="D220" s="2" t="inlineStr">
        <is>
          <t>Dd;E</t>
        </is>
      </c>
      <c r="E220" s="2" t="n">
        <v>2</v>
      </c>
      <c r="F220" s="2" t="n">
        <v>4</v>
      </c>
      <c r="G220" s="2" t="n">
        <v>0.5</v>
      </c>
      <c r="H220" s="2" t="n">
        <v>0.5</v>
      </c>
      <c r="I220" s="2" t="n">
        <v>8</v>
      </c>
      <c r="J220" s="2" t="inlineStr">
        <is>
          <t>Jolly</t>
        </is>
      </c>
      <c r="K220" s="2" t="n">
        <v>72</v>
      </c>
      <c r="L220" s="2" t="n">
        <v>5.69</v>
      </c>
      <c r="M220" s="2" t="n">
        <v>0</v>
      </c>
      <c r="N220" s="2" t="inlineStr">
        <is>
          <t>P</t>
        </is>
      </c>
      <c r="O220" s="2" t="n">
        <v>0</v>
      </c>
      <c r="P220" s="2" t="inlineStr">
        <is>
          <t>Normale</t>
        </is>
      </c>
    </row>
    <row r="221">
      <c r="A221" s="2" t="inlineStr">
        <is>
          <t>Biraghi</t>
        </is>
      </c>
      <c r="B221" s="2" t="inlineStr">
        <is>
          <t>Torino</t>
        </is>
      </c>
      <c r="C221" s="2" t="inlineStr">
        <is>
          <t>D</t>
        </is>
      </c>
      <c r="D221" s="2" t="inlineStr">
        <is>
          <t>B/Ds/E</t>
        </is>
      </c>
      <c r="E221" s="2" t="n">
        <v>2</v>
      </c>
      <c r="F221" s="2" t="n">
        <v>5</v>
      </c>
      <c r="G221" s="2" t="n">
        <v>0.95</v>
      </c>
      <c r="H221" s="2" t="n">
        <v>0.5</v>
      </c>
      <c r="I221" s="2" t="n">
        <v>8</v>
      </c>
      <c r="J221" s="2" t="inlineStr">
        <is>
          <t>Riserva</t>
        </is>
      </c>
      <c r="K221" s="2" t="n">
        <v>52</v>
      </c>
      <c r="L221" s="2" t="n">
        <v>5.98</v>
      </c>
      <c r="M221" s="2" t="n">
        <v>0</v>
      </c>
      <c r="N221" s="2" t="inlineStr">
        <is>
          <t>P</t>
        </is>
      </c>
      <c r="O221" s="2" t="n">
        <v>1</v>
      </c>
      <c r="P221" s="2" t="inlineStr">
        <is>
          <t>🪑 Riserva Fissa (da fasciaFc)</t>
        </is>
      </c>
    </row>
    <row r="222">
      <c r="A222" s="2" t="inlineStr">
        <is>
          <t>Cinquegrano</t>
        </is>
      </c>
      <c r="B222" s="2" t="inlineStr">
        <is>
          <t>Sassuolo</t>
        </is>
      </c>
      <c r="C222" s="2" t="inlineStr">
        <is>
          <t>D</t>
        </is>
      </c>
      <c r="D222" s="2" t="inlineStr">
        <is>
          <t>Dd/E</t>
        </is>
      </c>
      <c r="E222" s="2" t="n">
        <v>2</v>
      </c>
      <c r="F222" s="2" t="n">
        <v>4</v>
      </c>
      <c r="G222" s="2" t="n">
        <v>1.2</v>
      </c>
      <c r="H222" s="2" t="n">
        <v>0.5</v>
      </c>
      <c r="I222" s="2" t="n">
        <v>8</v>
      </c>
      <c r="J222" s="2" t="inlineStr">
        <is>
          <t>TitLowCost</t>
        </is>
      </c>
      <c r="K222" s="2" t="n">
        <v>81</v>
      </c>
      <c r="L222" s="2" t="n">
        <v>6.06</v>
      </c>
      <c r="M222" s="2" t="n">
        <v>0</v>
      </c>
      <c r="N222" s="2" t="inlineStr">
        <is>
          <t>T</t>
        </is>
      </c>
      <c r="O222" s="2" t="n">
        <v>1</v>
      </c>
      <c r="P222" s="2" t="inlineStr">
        <is>
          <t>Normale</t>
        </is>
      </c>
    </row>
    <row r="223">
      <c r="A223" s="2" t="inlineStr">
        <is>
          <t>Diawara S.</t>
        </is>
      </c>
      <c r="B223" s="2" t="inlineStr">
        <is>
          <t>Milan</t>
        </is>
      </c>
      <c r="C223" s="2" t="inlineStr">
        <is>
          <t>D</t>
        </is>
      </c>
      <c r="D223" s="2" t="inlineStr">
        <is>
          <t>Dc;Ds</t>
        </is>
      </c>
      <c r="E223" s="2" t="n">
        <v>2</v>
      </c>
      <c r="F223" s="2" t="n">
        <v>4</v>
      </c>
      <c r="G223" s="2" t="n">
        <v>0.7</v>
      </c>
      <c r="H223" s="2" t="n">
        <v>0.5</v>
      </c>
      <c r="I223" s="2" t="n">
        <v>8</v>
      </c>
      <c r="J223" s="2" t="inlineStr">
        <is>
          <t>Riserva</t>
        </is>
      </c>
      <c r="K223" s="2" t="n">
        <v>52</v>
      </c>
      <c r="L223" s="2" t="n">
        <v>5.97</v>
      </c>
      <c r="M223" s="2" t="n">
        <v>0</v>
      </c>
      <c r="N223" s="2" t="inlineStr">
        <is>
          <t>P</t>
        </is>
      </c>
      <c r="O223" s="2" t="n">
        <v>0</v>
      </c>
      <c r="P223" s="2" t="inlineStr">
        <is>
          <t>🪑 Riserva Fissa (da fasciaFc)</t>
        </is>
      </c>
    </row>
    <row r="224">
      <c r="A224" s="2" t="inlineStr">
        <is>
          <t>Drobnic</t>
        </is>
      </c>
      <c r="B224" s="2" t="inlineStr">
        <is>
          <t>Parma</t>
        </is>
      </c>
      <c r="C224" s="2" t="inlineStr">
        <is>
          <t>D</t>
        </is>
      </c>
      <c r="D224" s="2" t="inlineStr">
        <is>
          <t>Dc</t>
        </is>
      </c>
      <c r="E224" s="2" t="n">
        <v>2</v>
      </c>
      <c r="F224" s="2" t="n">
        <v>1</v>
      </c>
      <c r="G224" s="2" t="n">
        <v>0.5</v>
      </c>
      <c r="H224" s="2" t="n">
        <v>0.5</v>
      </c>
      <c r="I224" s="2" t="n">
        <v>8</v>
      </c>
      <c r="J224" s="2" t="inlineStr">
        <is>
          <t>Riserva</t>
        </is>
      </c>
      <c r="K224" s="2" t="n">
        <v>64</v>
      </c>
      <c r="L224" s="2" t="n">
        <v>5.99</v>
      </c>
      <c r="M224" s="2" t="n">
        <v>0</v>
      </c>
      <c r="N224" s="2" t="inlineStr">
        <is>
          <t>P</t>
        </is>
      </c>
      <c r="O224" s="2" t="n">
        <v>0</v>
      </c>
      <c r="P224" s="2" t="inlineStr">
        <is>
          <t>🪑 Riserva Fissa (da fasciaFc)</t>
        </is>
      </c>
    </row>
    <row r="225">
      <c r="A225" s="2" t="inlineStr">
        <is>
          <t>Goglichidze</t>
        </is>
      </c>
      <c r="B225" s="2" t="inlineStr">
        <is>
          <t>Monza</t>
        </is>
      </c>
      <c r="C225" s="2" t="inlineStr">
        <is>
          <t>D</t>
        </is>
      </c>
      <c r="D225" s="2" t="inlineStr">
        <is>
          <t>Dd/Dc</t>
        </is>
      </c>
      <c r="E225" s="2" t="n">
        <v>2</v>
      </c>
      <c r="F225" s="2" t="n">
        <v>5</v>
      </c>
      <c r="G225" s="2" t="n">
        <v>0.95</v>
      </c>
      <c r="H225" s="2" t="n">
        <v>0.5</v>
      </c>
      <c r="I225" s="2" t="n">
        <v>8</v>
      </c>
      <c r="J225" s="2" t="inlineStr">
        <is>
          <t>Riserva</t>
        </is>
      </c>
      <c r="K225" s="2" t="n">
        <v>52</v>
      </c>
      <c r="L225" s="2" t="n">
        <v>5.66</v>
      </c>
      <c r="M225" s="2" t="n">
        <v>0</v>
      </c>
      <c r="N225" s="2" t="inlineStr">
        <is>
          <t>P</t>
        </is>
      </c>
      <c r="O225" s="2" t="n">
        <v>1</v>
      </c>
      <c r="P225" s="2" t="inlineStr">
        <is>
          <t>🪑 Riserva Fissa (da fasciaFc)</t>
        </is>
      </c>
    </row>
    <row r="226">
      <c r="A226" s="2" t="inlineStr">
        <is>
          <t>Jean</t>
        </is>
      </c>
      <c r="B226" s="2" t="inlineStr">
        <is>
          <t>Lecce</t>
        </is>
      </c>
      <c r="C226" s="2" t="inlineStr">
        <is>
          <t>D</t>
        </is>
      </c>
      <c r="D226" s="2" t="inlineStr">
        <is>
          <t>Dc</t>
        </is>
      </c>
      <c r="E226" s="2" t="n">
        <v>2</v>
      </c>
      <c r="F226" s="2" t="n">
        <v>4</v>
      </c>
      <c r="G226" s="2" t="n">
        <v>0.5</v>
      </c>
      <c r="H226" s="2" t="n">
        <v>0.5</v>
      </c>
      <c r="I226" s="2" t="n">
        <v>8</v>
      </c>
      <c r="J226" s="2" t="inlineStr">
        <is>
          <t>Riserva</t>
        </is>
      </c>
      <c r="K226" s="2" t="n">
        <v>52</v>
      </c>
      <c r="L226" s="2" t="n">
        <v>5.93</v>
      </c>
      <c r="M226" s="2" t="n">
        <v>0</v>
      </c>
      <c r="N226" s="2" t="inlineStr">
        <is>
          <t>P</t>
        </is>
      </c>
      <c r="O226" s="2" t="n">
        <v>0</v>
      </c>
      <c r="P226" s="2" t="inlineStr">
        <is>
          <t>🪑 Riserva Fissa (da fasciaFc)</t>
        </is>
      </c>
    </row>
    <row r="227">
      <c r="A227" s="2" t="inlineStr">
        <is>
          <t>Lazzari</t>
        </is>
      </c>
      <c r="B227" s="2" t="inlineStr">
        <is>
          <t>Lazio</t>
        </is>
      </c>
      <c r="C227" s="2" t="inlineStr">
        <is>
          <t>D</t>
        </is>
      </c>
      <c r="D227" s="2" t="inlineStr">
        <is>
          <t>Dd/E</t>
        </is>
      </c>
      <c r="E227" s="2" t="n">
        <v>2</v>
      </c>
      <c r="F227" s="2" t="n">
        <v>5</v>
      </c>
      <c r="G227" s="2" t="n">
        <v>1</v>
      </c>
      <c r="H227" s="2" t="n">
        <v>0.5</v>
      </c>
      <c r="I227" s="2" t="n">
        <v>8</v>
      </c>
      <c r="J227" s="2" t="inlineStr">
        <is>
          <t>Riserva</t>
        </is>
      </c>
      <c r="K227" s="2" t="n">
        <v>64</v>
      </c>
      <c r="L227" s="2" t="n">
        <v>6</v>
      </c>
      <c r="M227" s="2" t="n">
        <v>0</v>
      </c>
      <c r="N227" s="2" t="inlineStr">
        <is>
          <t>P</t>
        </is>
      </c>
      <c r="O227" s="2" t="n">
        <v>1</v>
      </c>
      <c r="P227" s="2" t="inlineStr">
        <is>
          <t>🪑 Riserva Fissa (da fasciaFc)</t>
        </is>
      </c>
    </row>
    <row r="228">
      <c r="A228" s="2" t="inlineStr">
        <is>
          <t>Lulli</t>
        </is>
      </c>
      <c r="B228" s="2" t="inlineStr">
        <is>
          <t>Roma</t>
        </is>
      </c>
      <c r="C228" s="2" t="inlineStr">
        <is>
          <t>D</t>
        </is>
      </c>
      <c r="D228" s="2" t="inlineStr">
        <is>
          <t>E</t>
        </is>
      </c>
      <c r="E228" s="2" t="n">
        <v>2</v>
      </c>
      <c r="F228" s="2" t="n">
        <v>10</v>
      </c>
      <c r="G228" s="2" t="n">
        <v>2.4</v>
      </c>
      <c r="H228" s="2" t="n">
        <v>0.5</v>
      </c>
      <c r="I228" s="2" t="n">
        <v>8</v>
      </c>
      <c r="J228" s="2" t="inlineStr">
        <is>
          <t>Riserva</t>
        </is>
      </c>
      <c r="K228" s="2" t="n">
        <v>64</v>
      </c>
      <c r="L228" s="2" t="n">
        <v>6.1</v>
      </c>
      <c r="M228" s="2" t="n">
        <v>0</v>
      </c>
      <c r="N228" s="2" t="inlineStr">
        <is>
          <t>P</t>
        </is>
      </c>
      <c r="O228" s="2" t="n">
        <v>2.5</v>
      </c>
      <c r="P228" s="2" t="inlineStr">
        <is>
          <t>🪑 Riserva Fissa (da fasciaFc)</t>
        </is>
      </c>
    </row>
    <row r="229">
      <c r="A229" s="2" t="inlineStr">
        <is>
          <t>Marin R.</t>
        </is>
      </c>
      <c r="B229" s="2" t="inlineStr">
        <is>
          <t>Napoli</t>
        </is>
      </c>
      <c r="C229" s="2" t="inlineStr">
        <is>
          <t>D</t>
        </is>
      </c>
      <c r="D229" s="2" t="inlineStr">
        <is>
          <t>Dc</t>
        </is>
      </c>
      <c r="E229" s="2" t="n">
        <v>2</v>
      </c>
      <c r="F229" s="2" t="n">
        <v>8</v>
      </c>
      <c r="G229" s="2" t="n">
        <v>1.4</v>
      </c>
      <c r="H229" s="2" t="n">
        <v>0.5</v>
      </c>
      <c r="I229" s="2" t="n">
        <v>8</v>
      </c>
      <c r="J229" s="2" t="inlineStr">
        <is>
          <t>Riserva</t>
        </is>
      </c>
      <c r="K229" s="2" t="n">
        <v>68</v>
      </c>
      <c r="L229" s="2" t="n">
        <v>5.93</v>
      </c>
      <c r="M229" s="2" t="n">
        <v>0</v>
      </c>
      <c r="N229" s="2" t="inlineStr">
        <is>
          <t>P</t>
        </is>
      </c>
      <c r="O229" s="2" t="n">
        <v>1</v>
      </c>
      <c r="P229" s="2" t="inlineStr">
        <is>
          <t>🪑 Riserva Fissa (da fasciaFc)</t>
        </is>
      </c>
    </row>
    <row r="230">
      <c r="A230" s="2" t="inlineStr">
        <is>
          <t>Ndaba</t>
        </is>
      </c>
      <c r="B230" s="2" t="inlineStr">
        <is>
          <t>Lecce</t>
        </is>
      </c>
      <c r="C230" s="2" t="inlineStr">
        <is>
          <t>D</t>
        </is>
      </c>
      <c r="D230" s="2" t="inlineStr">
        <is>
          <t>Ds;E</t>
        </is>
      </c>
      <c r="E230" s="2" t="n">
        <v>2</v>
      </c>
      <c r="F230" s="2" t="n">
        <v>5</v>
      </c>
      <c r="G230" s="2" t="n">
        <v>0.5</v>
      </c>
      <c r="H230" s="2" t="n">
        <v>0.5</v>
      </c>
      <c r="I230" s="2" t="n">
        <v>8</v>
      </c>
      <c r="J230" s="2" t="inlineStr">
        <is>
          <t>TitLowCost</t>
        </is>
      </c>
      <c r="K230" s="2" t="n">
        <v>82</v>
      </c>
      <c r="L230" s="2" t="n">
        <v>6.1</v>
      </c>
      <c r="M230" s="2" t="n">
        <v>0</v>
      </c>
      <c r="N230" s="2" t="inlineStr">
        <is>
          <t>B</t>
        </is>
      </c>
      <c r="O230" s="2" t="n">
        <v>0</v>
      </c>
      <c r="P230" s="2" t="inlineStr">
        <is>
          <t>🟡 Ballottaggio</t>
        </is>
      </c>
    </row>
    <row r="231">
      <c r="A231" s="2" t="inlineStr">
        <is>
          <t>Ndiaye</t>
        </is>
      </c>
      <c r="B231" s="2" t="inlineStr">
        <is>
          <t>Parma</t>
        </is>
      </c>
      <c r="C231" s="2" t="inlineStr">
        <is>
          <t>D</t>
        </is>
      </c>
      <c r="D231" s="2" t="inlineStr">
        <is>
          <t>Dc</t>
        </is>
      </c>
      <c r="E231" s="2" t="n">
        <v>2</v>
      </c>
      <c r="F231" s="2" t="n">
        <v>8</v>
      </c>
      <c r="G231" s="2" t="n">
        <v>1</v>
      </c>
      <c r="H231" s="2" t="n">
        <v>0.5</v>
      </c>
      <c r="I231" s="2" t="n">
        <v>8</v>
      </c>
      <c r="J231" s="2" t="inlineStr">
        <is>
          <t>Riserva</t>
        </is>
      </c>
      <c r="K231" s="2" t="n">
        <v>52</v>
      </c>
      <c r="L231" s="2" t="n">
        <v>5.9</v>
      </c>
      <c r="M231" s="2" t="n">
        <v>0</v>
      </c>
      <c r="N231" s="2" t="inlineStr">
        <is>
          <t>P</t>
        </is>
      </c>
      <c r="O231" s="2" t="n">
        <v>1</v>
      </c>
      <c r="P231" s="2" t="inlineStr">
        <is>
          <t>🪑 Riserva Fissa (da fasciaFc)</t>
        </is>
      </c>
    </row>
    <row r="232">
      <c r="A232" s="2" t="inlineStr">
        <is>
          <t>Otoa</t>
        </is>
      </c>
      <c r="B232" s="2" t="inlineStr">
        <is>
          <t>Genoa</t>
        </is>
      </c>
      <c r="C232" s="2" t="inlineStr">
        <is>
          <t>D</t>
        </is>
      </c>
      <c r="D232" s="2" t="inlineStr">
        <is>
          <t>Dc</t>
        </is>
      </c>
      <c r="E232" s="2" t="n">
        <v>2</v>
      </c>
      <c r="F232" s="2" t="n">
        <v>5</v>
      </c>
      <c r="G232" s="2" t="n">
        <v>0.5</v>
      </c>
      <c r="H232" s="2" t="n">
        <v>0.5</v>
      </c>
      <c r="I232" s="2" t="n">
        <v>8</v>
      </c>
      <c r="J232" s="2" t="inlineStr">
        <is>
          <t>Jolly</t>
        </is>
      </c>
      <c r="K232" s="2" t="n">
        <v>70</v>
      </c>
      <c r="L232" s="2" t="n">
        <v>5.91</v>
      </c>
      <c r="M232" s="2" t="n">
        <v>0</v>
      </c>
      <c r="N232" s="2" t="inlineStr">
        <is>
          <t>P</t>
        </is>
      </c>
      <c r="O232" s="2" t="n">
        <v>1</v>
      </c>
      <c r="P232" s="2" t="inlineStr">
        <is>
          <t>Normale</t>
        </is>
      </c>
    </row>
    <row r="233">
      <c r="A233" s="2" t="inlineStr">
        <is>
          <t>Pellegrini Lu.</t>
        </is>
      </c>
      <c r="B233" s="2" t="inlineStr">
        <is>
          <t>Lazio</t>
        </is>
      </c>
      <c r="C233" s="2" t="inlineStr">
        <is>
          <t>D</t>
        </is>
      </c>
      <c r="D233" s="2" t="inlineStr">
        <is>
          <t>Ds/E</t>
        </is>
      </c>
      <c r="E233" s="2" t="n">
        <v>2</v>
      </c>
      <c r="F233" s="2" t="n">
        <v>7</v>
      </c>
      <c r="G233" s="2" t="n">
        <v>0.95</v>
      </c>
      <c r="H233" s="2" t="n">
        <v>0.5</v>
      </c>
      <c r="I233" s="2" t="n">
        <v>8</v>
      </c>
      <c r="J233" s="2" t="inlineStr">
        <is>
          <t>Riserva</t>
        </is>
      </c>
      <c r="K233" s="2" t="n">
        <v>50</v>
      </c>
      <c r="L233" s="2" t="n">
        <v>5.96</v>
      </c>
      <c r="M233" s="2" t="n">
        <v>0</v>
      </c>
      <c r="N233" s="2" t="inlineStr">
        <is>
          <t>P</t>
        </is>
      </c>
      <c r="O233" s="2" t="n">
        <v>1</v>
      </c>
      <c r="P233" s="2" t="inlineStr">
        <is>
          <t>🔴 Infortunato/Dubbio</t>
        </is>
      </c>
    </row>
    <row r="234">
      <c r="A234" s="2" t="inlineStr">
        <is>
          <t>Puczka</t>
        </is>
      </c>
      <c r="B234" s="2" t="inlineStr">
        <is>
          <t>Genoa</t>
        </is>
      </c>
      <c r="C234" s="2" t="inlineStr">
        <is>
          <t>D</t>
        </is>
      </c>
      <c r="D234" s="2" t="inlineStr">
        <is>
          <t>Ds/E</t>
        </is>
      </c>
      <c r="E234" s="2" t="n">
        <v>2</v>
      </c>
      <c r="F234" s="2" t="n">
        <v>3</v>
      </c>
      <c r="G234" s="2" t="n">
        <v>0.95</v>
      </c>
      <c r="H234" s="2" t="n">
        <v>0.5</v>
      </c>
      <c r="I234" s="2" t="n">
        <v>8</v>
      </c>
      <c r="J234" s="2" t="inlineStr">
        <is>
          <t>Riserva</t>
        </is>
      </c>
      <c r="K234" s="2" t="n">
        <v>53</v>
      </c>
      <c r="L234" s="2" t="n">
        <v>5.86</v>
      </c>
      <c r="M234" s="2" t="n">
        <v>0</v>
      </c>
      <c r="N234" s="2" t="inlineStr">
        <is>
          <t>P</t>
        </is>
      </c>
      <c r="O234" s="2" t="n">
        <v>1</v>
      </c>
      <c r="P234" s="2" t="inlineStr">
        <is>
          <t>🪑 Riserva Fissa (da fasciaFc)</t>
        </is>
      </c>
    </row>
    <row r="235">
      <c r="A235" s="2" t="inlineStr">
        <is>
          <t>Sabelli</t>
        </is>
      </c>
      <c r="B235" s="2" t="inlineStr">
        <is>
          <t>Genoa</t>
        </is>
      </c>
      <c r="C235" s="2" t="inlineStr">
        <is>
          <t>D</t>
        </is>
      </c>
      <c r="D235" s="2" t="inlineStr">
        <is>
          <t>Dd/Ds/E</t>
        </is>
      </c>
      <c r="E235" s="2" t="n">
        <v>2</v>
      </c>
      <c r="F235" s="2" t="n">
        <v>5</v>
      </c>
      <c r="G235" s="2" t="n">
        <v>0.95</v>
      </c>
      <c r="H235" s="2" t="n">
        <v>0.5</v>
      </c>
      <c r="I235" s="2" t="n">
        <v>8</v>
      </c>
      <c r="J235" s="2" t="inlineStr">
        <is>
          <t>Riserva</t>
        </is>
      </c>
      <c r="K235" s="2" t="n">
        <v>60</v>
      </c>
      <c r="L235" s="2" t="n">
        <v>5.91</v>
      </c>
      <c r="M235" s="2" t="n">
        <v>0</v>
      </c>
      <c r="N235" s="2" t="inlineStr">
        <is>
          <t>P</t>
        </is>
      </c>
      <c r="O235" s="2" t="n">
        <v>1</v>
      </c>
      <c r="P235" s="2" t="inlineStr">
        <is>
          <t>🪑 Riserva Fissa (da fasciaFc)</t>
        </is>
      </c>
    </row>
    <row r="236">
      <c r="A236" s="2" t="inlineStr">
        <is>
          <t>Sagrado</t>
        </is>
      </c>
      <c r="B236" s="2" t="inlineStr">
        <is>
          <t>Venezia</t>
        </is>
      </c>
      <c r="C236" s="2" t="inlineStr">
        <is>
          <t>D</t>
        </is>
      </c>
      <c r="D236" s="2" t="inlineStr">
        <is>
          <t>Dd;E</t>
        </is>
      </c>
      <c r="E236" s="2" t="n">
        <v>2</v>
      </c>
      <c r="F236" s="2" t="n">
        <v>4</v>
      </c>
      <c r="G236" s="2" t="n">
        <v>0.5</v>
      </c>
      <c r="H236" s="2" t="n">
        <v>0.5</v>
      </c>
      <c r="I236" s="2" t="n">
        <v>8</v>
      </c>
      <c r="J236" s="2" t="inlineStr">
        <is>
          <t>TitLowCost</t>
        </is>
      </c>
      <c r="K236" s="2" t="n">
        <v>76</v>
      </c>
      <c r="L236" s="2" t="n">
        <v>5.98</v>
      </c>
      <c r="M236" s="2" t="n">
        <v>0</v>
      </c>
      <c r="N236" s="2" t="inlineStr">
        <is>
          <t>P</t>
        </is>
      </c>
      <c r="O236" s="2" t="n">
        <v>0</v>
      </c>
      <c r="P236" s="2" t="inlineStr">
        <is>
          <t>Normale</t>
        </is>
      </c>
    </row>
    <row r="237">
      <c r="A237" s="2" t="inlineStr">
        <is>
          <t>Terracciano F.</t>
        </is>
      </c>
      <c r="B237" s="2" t="inlineStr">
        <is>
          <t>Milan</t>
        </is>
      </c>
      <c r="C237" s="2" t="inlineStr">
        <is>
          <t>D</t>
        </is>
      </c>
      <c r="D237" s="2" t="inlineStr">
        <is>
          <t>B/Dd/Ds</t>
        </is>
      </c>
      <c r="E237" s="2" t="n">
        <v>2</v>
      </c>
      <c r="F237" s="2" t="n">
        <v>4</v>
      </c>
      <c r="G237" s="2" t="n">
        <v>0.95</v>
      </c>
      <c r="H237" s="2" t="n">
        <v>0.5</v>
      </c>
      <c r="I237" s="2" t="n">
        <v>8</v>
      </c>
      <c r="J237" s="2" t="inlineStr">
        <is>
          <t>Riserva</t>
        </is>
      </c>
      <c r="K237" s="2" t="n">
        <v>68</v>
      </c>
      <c r="L237" s="2" t="n">
        <v>5.92</v>
      </c>
      <c r="M237" s="2" t="n">
        <v>0</v>
      </c>
      <c r="N237" s="2" t="inlineStr">
        <is>
          <t>P</t>
        </is>
      </c>
      <c r="O237" s="2" t="n">
        <v>1</v>
      </c>
      <c r="P237" s="2" t="inlineStr">
        <is>
          <t>🪑 Riserva Fissa (da fasciaFc)</t>
        </is>
      </c>
    </row>
    <row r="238">
      <c r="A238" s="2" t="inlineStr">
        <is>
          <t>Van Der Brempt</t>
        </is>
      </c>
      <c r="B238" s="2" t="inlineStr">
        <is>
          <t>Sassuolo</t>
        </is>
      </c>
      <c r="C238" s="2" t="inlineStr">
        <is>
          <t>D</t>
        </is>
      </c>
      <c r="D238" s="2" t="inlineStr">
        <is>
          <t>Dd/E</t>
        </is>
      </c>
      <c r="E238" s="2" t="n">
        <v>2</v>
      </c>
      <c r="F238" s="2" t="n">
        <v>11</v>
      </c>
      <c r="G238" s="2" t="n">
        <v>1.3</v>
      </c>
      <c r="H238" s="2" t="n">
        <v>0.5</v>
      </c>
      <c r="I238" s="2" t="n">
        <v>8</v>
      </c>
      <c r="J238" s="2" t="inlineStr">
        <is>
          <t>TitLowCost</t>
        </is>
      </c>
      <c r="K238" s="2" t="n">
        <v>76</v>
      </c>
      <c r="L238" s="2" t="n">
        <v>6.13</v>
      </c>
      <c r="M238" s="2" t="n">
        <v>0</v>
      </c>
      <c r="N238" s="2" t="inlineStr">
        <is>
          <t>P</t>
        </is>
      </c>
      <c r="O238" s="2" t="n">
        <v>1</v>
      </c>
      <c r="P238" s="2" t="inlineStr">
        <is>
          <t>Normale</t>
        </is>
      </c>
    </row>
    <row r="239">
      <c r="A239" s="2" t="inlineStr">
        <is>
          <t>Amey</t>
        </is>
      </c>
      <c r="B239" s="2" t="inlineStr">
        <is>
          <t>Frosinone</t>
        </is>
      </c>
      <c r="C239" s="2" t="inlineStr">
        <is>
          <t>D</t>
        </is>
      </c>
      <c r="D239" s="2" t="inlineStr">
        <is>
          <t>Dc</t>
        </is>
      </c>
      <c r="E239" s="2" t="n">
        <v>1</v>
      </c>
      <c r="F239" s="2" t="n">
        <v>1</v>
      </c>
      <c r="G239" s="2" t="n">
        <v>0.5</v>
      </c>
      <c r="H239" s="2" t="n">
        <v>0.5</v>
      </c>
      <c r="I239" s="2" t="n">
        <v>8</v>
      </c>
      <c r="J239" s="2" t="inlineStr">
        <is>
          <t>Riserva</t>
        </is>
      </c>
      <c r="K239" s="2" t="n">
        <v>52</v>
      </c>
      <c r="L239" s="2" t="n">
        <v>5.67</v>
      </c>
      <c r="M239" s="2" t="n">
        <v>0</v>
      </c>
      <c r="N239" s="2" t="inlineStr">
        <is>
          <t>P</t>
        </is>
      </c>
      <c r="O239" s="2" t="n">
        <v>0</v>
      </c>
      <c r="P239" s="2" t="inlineStr">
        <is>
          <t>🪑 Riserva Fissa (da fasciaFc)</t>
        </is>
      </c>
    </row>
    <row r="240">
      <c r="A240" s="2" t="inlineStr">
        <is>
          <t>Antov</t>
        </is>
      </c>
      <c r="B240" s="2" t="inlineStr">
        <is>
          <t>Monza</t>
        </is>
      </c>
      <c r="C240" s="2" t="inlineStr">
        <is>
          <t>D</t>
        </is>
      </c>
      <c r="D240" s="2" t="inlineStr">
        <is>
          <t>Dc</t>
        </is>
      </c>
      <c r="E240" s="2" t="n">
        <v>1</v>
      </c>
      <c r="F240" s="2" t="n">
        <v>2</v>
      </c>
      <c r="G240" s="2" t="n">
        <v>0.5</v>
      </c>
      <c r="H240" s="2" t="n">
        <v>0.5</v>
      </c>
      <c r="I240" s="2" t="n">
        <v>8</v>
      </c>
      <c r="J240" s="2" t="inlineStr">
        <is>
          <t>Riserva</t>
        </is>
      </c>
      <c r="K240" s="2" t="n">
        <v>52</v>
      </c>
      <c r="L240" s="2" t="n">
        <v>5.68</v>
      </c>
      <c r="M240" s="2" t="n">
        <v>0</v>
      </c>
      <c r="N240" s="2" t="inlineStr">
        <is>
          <t>P</t>
        </is>
      </c>
      <c r="O240" s="2" t="n">
        <v>0</v>
      </c>
      <c r="P240" s="2" t="inlineStr">
        <is>
          <t>🪑 Riserva Fissa (da fasciaFc)</t>
        </is>
      </c>
    </row>
    <row r="241">
      <c r="A241" s="2" t="inlineStr">
        <is>
          <t>Cabal</t>
        </is>
      </c>
      <c r="B241" s="2" t="inlineStr">
        <is>
          <t>Juventus</t>
        </is>
      </c>
      <c r="C241" s="2" t="inlineStr">
        <is>
          <t>D</t>
        </is>
      </c>
      <c r="D241" s="2" t="inlineStr">
        <is>
          <t>B/Ds/E</t>
        </is>
      </c>
      <c r="E241" s="2" t="n">
        <v>1</v>
      </c>
      <c r="F241" s="2" t="n">
        <v>4</v>
      </c>
      <c r="G241" s="2" t="n">
        <v>1</v>
      </c>
      <c r="H241" s="2" t="n">
        <v>0.5</v>
      </c>
      <c r="I241" s="2" t="n">
        <v>8</v>
      </c>
      <c r="J241" s="2" t="inlineStr">
        <is>
          <t>Riserva</t>
        </is>
      </c>
      <c r="K241" s="2" t="n">
        <v>67</v>
      </c>
      <c r="L241" s="2" t="n">
        <v>5.96</v>
      </c>
      <c r="M241" s="2" t="n">
        <v>0</v>
      </c>
      <c r="N241" s="2" t="inlineStr">
        <is>
          <t>P</t>
        </is>
      </c>
      <c r="O241" s="2" t="n">
        <v>1</v>
      </c>
      <c r="P241" s="2" t="inlineStr">
        <is>
          <t>🪑 Riserva Fissa (da fasciaFc)</t>
        </is>
      </c>
    </row>
    <row r="242">
      <c r="A242" s="2" t="inlineStr">
        <is>
          <t>Carboni F.</t>
        </is>
      </c>
      <c r="B242" s="2" t="inlineStr">
        <is>
          <t>Parma</t>
        </is>
      </c>
      <c r="C242" s="2" t="inlineStr">
        <is>
          <t>D</t>
        </is>
      </c>
      <c r="D242" s="2" t="inlineStr">
        <is>
          <t>Ds;E</t>
        </is>
      </c>
      <c r="E242" s="2" t="n">
        <v>1</v>
      </c>
      <c r="F242" s="2" t="n">
        <v>3</v>
      </c>
      <c r="G242" s="2" t="n">
        <v>0.7</v>
      </c>
      <c r="H242" s="2" t="n">
        <v>0.5</v>
      </c>
      <c r="I242" s="2" t="n">
        <v>8</v>
      </c>
      <c r="J242" s="2" t="inlineStr">
        <is>
          <t>Riserva</t>
        </is>
      </c>
      <c r="K242" s="2" t="n">
        <v>52</v>
      </c>
      <c r="L242" s="2" t="n">
        <v>5.93</v>
      </c>
      <c r="M242" s="2" t="n">
        <v>0</v>
      </c>
      <c r="N242" s="2" t="inlineStr">
        <is>
          <t>P</t>
        </is>
      </c>
      <c r="O242" s="2" t="n">
        <v>0</v>
      </c>
      <c r="P242" s="2" t="inlineStr">
        <is>
          <t>🪑 Riserva Fissa (da fasciaFc)</t>
        </is>
      </c>
    </row>
    <row r="243">
      <c r="A243" s="2" t="inlineStr">
        <is>
          <t>De Silvestri</t>
        </is>
      </c>
      <c r="B243" s="2" t="inlineStr">
        <is>
          <t>Bologna</t>
        </is>
      </c>
      <c r="C243" s="2" t="inlineStr">
        <is>
          <t>D</t>
        </is>
      </c>
      <c r="D243" s="2" t="inlineStr">
        <is>
          <t>Dd;E</t>
        </is>
      </c>
      <c r="E243" s="2" t="n">
        <v>1</v>
      </c>
      <c r="F243" s="2" t="n">
        <v>4</v>
      </c>
      <c r="G243" s="2" t="n">
        <v>0.5</v>
      </c>
      <c r="H243" s="2" t="n">
        <v>0.5</v>
      </c>
      <c r="I243" s="2" t="n">
        <v>8</v>
      </c>
      <c r="J243" s="2" t="inlineStr">
        <is>
          <t>Riserva</t>
        </is>
      </c>
      <c r="K243" s="2" t="n">
        <v>52</v>
      </c>
      <c r="L243" s="2" t="n">
        <v>5.97</v>
      </c>
      <c r="M243" s="2" t="n">
        <v>0</v>
      </c>
      <c r="N243" s="2" t="inlineStr">
        <is>
          <t>P</t>
        </is>
      </c>
      <c r="O243" s="2" t="n">
        <v>0</v>
      </c>
      <c r="P243" s="2" t="inlineStr">
        <is>
          <t>🪑 Riserva Fissa (da fasciaFc)</t>
        </is>
      </c>
    </row>
    <row r="244">
      <c r="A244" s="2" t="inlineStr">
        <is>
          <t>Dembelè A.</t>
        </is>
      </c>
      <c r="B244" s="2" t="inlineStr">
        <is>
          <t>Lecce</t>
        </is>
      </c>
      <c r="C244" s="2" t="inlineStr">
        <is>
          <t>D</t>
        </is>
      </c>
      <c r="D244" s="2" t="inlineStr">
        <is>
          <t>Dd;E</t>
        </is>
      </c>
      <c r="E244" s="2" t="n">
        <v>1</v>
      </c>
      <c r="F244" s="2" t="n">
        <v>2</v>
      </c>
      <c r="G244" s="2" t="n">
        <v>0.5</v>
      </c>
      <c r="H244" s="2" t="n">
        <v>0.5</v>
      </c>
      <c r="I244" s="2" t="n">
        <v>8</v>
      </c>
      <c r="J244" s="2" t="inlineStr">
        <is>
          <t>Riserva</t>
        </is>
      </c>
      <c r="K244" s="2" t="n">
        <v>52</v>
      </c>
      <c r="L244" s="2" t="n">
        <v>5.92</v>
      </c>
      <c r="M244" s="2" t="n">
        <v>0</v>
      </c>
      <c r="N244" s="2" t="inlineStr">
        <is>
          <t>P</t>
        </is>
      </c>
      <c r="O244" s="2" t="n">
        <v>0</v>
      </c>
      <c r="P244" s="2" t="inlineStr">
        <is>
          <t>🪑 Riserva Fissa (da fasciaFc)</t>
        </is>
      </c>
    </row>
    <row r="245">
      <c r="A245" s="2" t="inlineStr">
        <is>
          <t>Goldaniga</t>
        </is>
      </c>
      <c r="B245" s="2" t="inlineStr">
        <is>
          <t>Como</t>
        </is>
      </c>
      <c r="C245" s="2" t="inlineStr">
        <is>
          <t>D</t>
        </is>
      </c>
      <c r="D245" s="2" t="inlineStr">
        <is>
          <t>Dc</t>
        </is>
      </c>
      <c r="E245" s="2" t="n">
        <v>1</v>
      </c>
      <c r="F245" s="2" t="n">
        <v>1</v>
      </c>
      <c r="G245" s="2" t="n">
        <v>0.75</v>
      </c>
      <c r="H245" s="2" t="n">
        <v>0.5</v>
      </c>
      <c r="I245" s="2" t="n">
        <v>8</v>
      </c>
      <c r="J245" s="2" t="inlineStr">
        <is>
          <t>Riserva</t>
        </is>
      </c>
      <c r="K245" s="2" t="n">
        <v>59</v>
      </c>
      <c r="L245" s="2" t="n">
        <v>5.94</v>
      </c>
      <c r="M245" s="2" t="n">
        <v>0</v>
      </c>
      <c r="N245" s="2" t="inlineStr">
        <is>
          <t>P</t>
        </is>
      </c>
      <c r="O245" s="2" t="n">
        <v>0.5</v>
      </c>
      <c r="P245" s="2" t="inlineStr">
        <is>
          <t>🪑 Riserva Fissa (da fasciaFc)</t>
        </is>
      </c>
    </row>
    <row r="246">
      <c r="A246" s="2" t="inlineStr">
        <is>
          <t>Gomes</t>
        </is>
      </c>
      <c r="B246" s="2" t="inlineStr">
        <is>
          <t>Venezia</t>
        </is>
      </c>
      <c r="C246" s="2" t="inlineStr">
        <is>
          <t>D</t>
        </is>
      </c>
      <c r="D246" s="2" t="inlineStr">
        <is>
          <t>Dc;Ds</t>
        </is>
      </c>
      <c r="E246" s="2" t="n">
        <v>1</v>
      </c>
      <c r="F246" s="2" t="n">
        <v>1</v>
      </c>
      <c r="G246" s="2" t="n">
        <v>0.5</v>
      </c>
      <c r="H246" s="2" t="n">
        <v>0.5</v>
      </c>
      <c r="I246" s="2" t="n">
        <v>8</v>
      </c>
      <c r="J246" s="2" t="inlineStr">
        <is>
          <t>Riserva</t>
        </is>
      </c>
      <c r="K246" s="2" t="n">
        <v>52</v>
      </c>
      <c r="L246" s="2" t="n">
        <v>5.65</v>
      </c>
      <c r="M246" s="2" t="n">
        <v>0</v>
      </c>
      <c r="N246" s="2" t="inlineStr">
        <is>
          <t>P</t>
        </is>
      </c>
      <c r="O246" s="2" t="n">
        <v>0</v>
      </c>
      <c r="P246" s="2" t="inlineStr">
        <is>
          <t>🪑 Riserva Fissa (da fasciaFc)</t>
        </is>
      </c>
    </row>
    <row r="247">
      <c r="A247" s="2" t="inlineStr">
        <is>
          <t>Marianucci</t>
        </is>
      </c>
      <c r="B247" s="2" t="inlineStr">
        <is>
          <t>Napoli</t>
        </is>
      </c>
      <c r="C247" s="2" t="inlineStr">
        <is>
          <t>D</t>
        </is>
      </c>
      <c r="D247" s="2" t="inlineStr">
        <is>
          <t>Dc</t>
        </is>
      </c>
      <c r="E247" s="2" t="n">
        <v>1</v>
      </c>
      <c r="F247" s="2" t="n">
        <v>3</v>
      </c>
      <c r="G247" s="2" t="n">
        <v>0.65</v>
      </c>
      <c r="H247" s="2" t="n">
        <v>0.5</v>
      </c>
      <c r="I247" s="2" t="n">
        <v>8</v>
      </c>
      <c r="J247" s="2" t="inlineStr">
        <is>
          <t>Riserva</t>
        </is>
      </c>
      <c r="K247" s="2" t="n">
        <v>44</v>
      </c>
      <c r="L247" s="2" t="n">
        <v>5.97</v>
      </c>
      <c r="M247" s="2" t="n">
        <v>0</v>
      </c>
      <c r="N247" s="2" t="inlineStr">
        <is>
          <t>P</t>
        </is>
      </c>
      <c r="O247" s="2" t="n">
        <v>1</v>
      </c>
      <c r="P247" s="2" t="inlineStr">
        <is>
          <t>🔴 Infortunato/Dubbio</t>
        </is>
      </c>
    </row>
    <row r="248">
      <c r="A248" s="2" t="inlineStr">
        <is>
          <t>Maye</t>
        </is>
      </c>
      <c r="B248" s="2" t="inlineStr">
        <is>
          <t>Monza</t>
        </is>
      </c>
      <c r="C248" s="2" t="inlineStr">
        <is>
          <t>D</t>
        </is>
      </c>
      <c r="D248" s="2" t="inlineStr">
        <is>
          <t>Dc;Ds</t>
        </is>
      </c>
      <c r="E248" s="2" t="n">
        <v>1</v>
      </c>
      <c r="F248" s="2" t="n">
        <v>1</v>
      </c>
      <c r="G248" s="2" t="n">
        <v>0.9</v>
      </c>
      <c r="H248" s="2" t="n">
        <v>0.5</v>
      </c>
      <c r="I248" s="2" t="n">
        <v>8</v>
      </c>
      <c r="J248" s="2" t="inlineStr">
        <is>
          <t>Riserva</t>
        </is>
      </c>
      <c r="K248" s="2" t="n">
        <v>60</v>
      </c>
      <c r="L248" s="2" t="n">
        <v>5.7</v>
      </c>
      <c r="M248" s="2" t="n">
        <v>0</v>
      </c>
      <c r="N248" s="2" t="inlineStr">
        <is>
          <t>P</t>
        </is>
      </c>
      <c r="O248" s="2" t="n">
        <v>0</v>
      </c>
      <c r="P248" s="2" t="inlineStr">
        <is>
          <t>🪑 Riserva Fissa (da fasciaFc)</t>
        </is>
      </c>
    </row>
    <row r="249">
      <c r="A249" s="2" t="inlineStr">
        <is>
          <t>Mazzocchi</t>
        </is>
      </c>
      <c r="B249" s="2" t="inlineStr">
        <is>
          <t>Venezia</t>
        </is>
      </c>
      <c r="C249" s="2" t="inlineStr">
        <is>
          <t>D</t>
        </is>
      </c>
      <c r="D249" s="2" t="inlineStr">
        <is>
          <t>Dd/Ds/E</t>
        </is>
      </c>
      <c r="E249" s="2" t="n">
        <v>1</v>
      </c>
      <c r="F249" s="2" t="n">
        <v>10</v>
      </c>
      <c r="G249" s="2" t="n">
        <v>1.45</v>
      </c>
      <c r="H249" s="2" t="n">
        <v>0.5</v>
      </c>
      <c r="I249" s="2" t="n">
        <v>8</v>
      </c>
      <c r="J249" s="2" t="inlineStr">
        <is>
          <t>Riserva</t>
        </is>
      </c>
      <c r="K249" s="2" t="n">
        <v>51</v>
      </c>
      <c r="L249" s="2" t="n">
        <v>5.77</v>
      </c>
      <c r="M249" s="2" t="n">
        <v>0</v>
      </c>
      <c r="N249" s="2" t="inlineStr">
        <is>
          <t>P</t>
        </is>
      </c>
      <c r="O249" s="2" t="n">
        <v>1</v>
      </c>
      <c r="P249" s="2" t="inlineStr">
        <is>
          <t>🔴 Infortunato/Dubbio</t>
        </is>
      </c>
    </row>
    <row r="250">
      <c r="A250" s="2" t="inlineStr">
        <is>
          <t>Omar Fayed</t>
        </is>
      </c>
      <c r="B250" s="2" t="inlineStr">
        <is>
          <t>Frosinone</t>
        </is>
      </c>
      <c r="C250" s="2" t="inlineStr">
        <is>
          <t>D</t>
        </is>
      </c>
      <c r="D250" s="2" t="inlineStr">
        <is>
          <t>Dc</t>
        </is>
      </c>
      <c r="E250" s="2" t="n">
        <v>1</v>
      </c>
      <c r="F250" s="2" t="n">
        <v>1</v>
      </c>
      <c r="G250" s="2" t="n">
        <v>0.5</v>
      </c>
      <c r="H250" s="2" t="n">
        <v>0.5</v>
      </c>
      <c r="I250" s="2" t="n">
        <v>8</v>
      </c>
      <c r="J250" s="2" t="inlineStr">
        <is>
          <t>Riserva</t>
        </is>
      </c>
      <c r="K250" s="2" t="n">
        <v>60</v>
      </c>
      <c r="L250" s="2" t="n">
        <v>5.63</v>
      </c>
      <c r="M250" s="2" t="n">
        <v>0</v>
      </c>
      <c r="N250" s="2" t="inlineStr">
        <is>
          <t>P</t>
        </is>
      </c>
      <c r="O250" s="2" t="n">
        <v>0</v>
      </c>
      <c r="P250" s="2" t="inlineStr">
        <is>
          <t>🪑 Riserva Fissa (da fasciaFc)</t>
        </is>
      </c>
    </row>
    <row r="251">
      <c r="A251" s="2" t="inlineStr">
        <is>
          <t>Patric</t>
        </is>
      </c>
      <c r="B251" s="2" t="inlineStr">
        <is>
          <t>Lazio</t>
        </is>
      </c>
      <c r="C251" s="2" t="inlineStr">
        <is>
          <t>D</t>
        </is>
      </c>
      <c r="D251" s="2" t="inlineStr">
        <is>
          <t>Dd/Dc</t>
        </is>
      </c>
      <c r="E251" s="2" t="n">
        <v>1</v>
      </c>
      <c r="F251" s="2" t="n">
        <v>1</v>
      </c>
      <c r="G251" s="2" t="n">
        <v>0.8</v>
      </c>
      <c r="H251" s="2" t="n">
        <v>0.5</v>
      </c>
      <c r="I251" s="2" t="n">
        <v>8</v>
      </c>
      <c r="J251" s="2" t="inlineStr">
        <is>
          <t>Riserva</t>
        </is>
      </c>
      <c r="K251" s="2" t="n">
        <v>49</v>
      </c>
      <c r="L251" s="2" t="n">
        <v>5.95</v>
      </c>
      <c r="M251" s="2" t="n">
        <v>0</v>
      </c>
      <c r="N251" s="2" t="inlineStr">
        <is>
          <t>P</t>
        </is>
      </c>
      <c r="O251" s="2" t="n">
        <v>1</v>
      </c>
      <c r="P251" s="2" t="inlineStr">
        <is>
          <t>🔴 Infortunato/Dubbio</t>
        </is>
      </c>
    </row>
    <row r="252">
      <c r="A252" s="2" t="inlineStr">
        <is>
          <t>Pieragnolo</t>
        </is>
      </c>
      <c r="B252" s="2" t="inlineStr">
        <is>
          <t>Sassuolo</t>
        </is>
      </c>
      <c r="C252" s="2" t="inlineStr">
        <is>
          <t>D</t>
        </is>
      </c>
      <c r="D252" s="2" t="inlineStr">
        <is>
          <t>Ds;E</t>
        </is>
      </c>
      <c r="E252" s="2" t="n">
        <v>1</v>
      </c>
      <c r="F252" s="2" t="n">
        <v>1</v>
      </c>
      <c r="G252" s="2" t="n">
        <v>0.5</v>
      </c>
      <c r="H252" s="2" t="n">
        <v>0.5</v>
      </c>
      <c r="I252" s="2" t="n">
        <v>8</v>
      </c>
      <c r="J252" s="2" t="inlineStr">
        <is>
          <t>Riserva</t>
        </is>
      </c>
      <c r="K252" s="2" t="n">
        <v>41</v>
      </c>
      <c r="L252" s="2" t="n">
        <v>5.93</v>
      </c>
      <c r="M252" s="2" t="n">
        <v>0</v>
      </c>
      <c r="N252" s="2" t="inlineStr">
        <is>
          <t>P</t>
        </is>
      </c>
      <c r="O252" s="2" t="n">
        <v>0</v>
      </c>
      <c r="P252" s="2" t="inlineStr">
        <is>
          <t>🔴 Infortunato/Dubbio</t>
        </is>
      </c>
    </row>
    <row r="253">
      <c r="A253" s="2" t="inlineStr">
        <is>
          <t>Rugani</t>
        </is>
      </c>
      <c r="B253" s="2" t="inlineStr">
        <is>
          <t>Juventus</t>
        </is>
      </c>
      <c r="C253" s="2" t="inlineStr">
        <is>
          <t>D</t>
        </is>
      </c>
      <c r="D253" s="2" t="inlineStr">
        <is>
          <t>Dc</t>
        </is>
      </c>
      <c r="E253" s="2" t="n">
        <v>1</v>
      </c>
      <c r="F253" s="2" t="n">
        <v>3</v>
      </c>
      <c r="G253" s="2" t="n">
        <v>0.8</v>
      </c>
      <c r="H253" s="2" t="n">
        <v>0.5</v>
      </c>
      <c r="I253" s="2" t="n">
        <v>8</v>
      </c>
      <c r="J253" s="2" t="inlineStr">
        <is>
          <t>Riserva</t>
        </is>
      </c>
      <c r="K253" s="2" t="n">
        <v>52</v>
      </c>
      <c r="L253" s="2" t="n">
        <v>5.96</v>
      </c>
      <c r="M253" s="2" t="n">
        <v>0</v>
      </c>
      <c r="N253" s="2" t="inlineStr">
        <is>
          <t>P</t>
        </is>
      </c>
      <c r="O253" s="2" t="n">
        <v>1</v>
      </c>
      <c r="P253" s="2" t="inlineStr">
        <is>
          <t>🪑 Riserva Fissa (da fasciaFc)</t>
        </is>
      </c>
    </row>
    <row r="254">
      <c r="A254" s="2" t="inlineStr">
        <is>
          <t>Ziolkowski</t>
        </is>
      </c>
      <c r="B254" s="2" t="inlineStr">
        <is>
          <t>Monza</t>
        </is>
      </c>
      <c r="C254" s="2" t="inlineStr">
        <is>
          <t>D</t>
        </is>
      </c>
      <c r="D254" s="2" t="inlineStr">
        <is>
          <t>Dc</t>
        </is>
      </c>
      <c r="E254" s="2" t="n">
        <v>1</v>
      </c>
      <c r="F254" s="2" t="n">
        <v>8</v>
      </c>
      <c r="G254" s="2" t="n">
        <v>1.1</v>
      </c>
      <c r="H254" s="2" t="n">
        <v>0.5</v>
      </c>
      <c r="I254" s="2" t="n">
        <v>8</v>
      </c>
      <c r="J254" s="2" t="inlineStr">
        <is>
          <t>TitLowCost</t>
        </is>
      </c>
      <c r="K254" s="2" t="n">
        <v>82</v>
      </c>
      <c r="L254" s="2" t="n">
        <v>5.89</v>
      </c>
      <c r="M254" s="2" t="n">
        <v>0</v>
      </c>
      <c r="N254" s="2" t="inlineStr">
        <is>
          <t>B</t>
        </is>
      </c>
      <c r="O254" s="2" t="n">
        <v>1</v>
      </c>
      <c r="P254" s="2" t="inlineStr">
        <is>
          <t>🟡 Ballottaggio</t>
        </is>
      </c>
    </row>
    <row r="255">
      <c r="A255" s="2" t="inlineStr">
        <is>
          <t>Paz N.</t>
        </is>
      </c>
      <c r="B255" s="2" t="inlineStr">
        <is>
          <t>Como</t>
        </is>
      </c>
      <c r="C255" s="2" t="inlineStr">
        <is>
          <t>C</t>
        </is>
      </c>
      <c r="D255" s="2" t="inlineStr">
        <is>
          <t>T/A</t>
        </is>
      </c>
      <c r="E255" s="2" t="n">
        <v>29</v>
      </c>
      <c r="F255" s="2" t="n">
        <v>245</v>
      </c>
      <c r="G255" s="2" t="n">
        <v>92.75</v>
      </c>
      <c r="H255" s="2" t="n">
        <v>84.34999999999999</v>
      </c>
      <c r="I255" s="2" t="n">
        <v>1</v>
      </c>
      <c r="J255" s="2" t="inlineStr">
        <is>
          <t>Top</t>
        </is>
      </c>
      <c r="K255" s="2" t="n">
        <v>92</v>
      </c>
      <c r="L255" s="2" t="n">
        <v>7.27</v>
      </c>
      <c r="M255" s="2" t="n">
        <v>0</v>
      </c>
      <c r="N255" s="2" t="inlineStr">
        <is>
          <t>T</t>
        </is>
      </c>
      <c r="O255" s="2" t="n">
        <v>96</v>
      </c>
      <c r="P255" s="2" t="inlineStr">
        <is>
          <t>Normale</t>
        </is>
      </c>
    </row>
    <row r="256">
      <c r="A256" s="2" t="inlineStr">
        <is>
          <t>Calhanoglu</t>
        </is>
      </c>
      <c r="B256" s="2" t="inlineStr">
        <is>
          <t>Inter</t>
        </is>
      </c>
      <c r="C256" s="2" t="inlineStr">
        <is>
          <t>C</t>
        </is>
      </c>
      <c r="D256" s="2" t="inlineStr">
        <is>
          <t>M/C</t>
        </is>
      </c>
      <c r="E256" s="2" t="n">
        <v>28</v>
      </c>
      <c r="F256" s="2" t="n">
        <v>243</v>
      </c>
      <c r="G256" s="2" t="n">
        <v>84.90000000000001</v>
      </c>
      <c r="H256" s="2" t="n">
        <v>69.15000000000001</v>
      </c>
      <c r="I256" s="2" t="n">
        <v>1</v>
      </c>
      <c r="J256" s="2" t="inlineStr">
        <is>
          <t>Top</t>
        </is>
      </c>
      <c r="K256" s="2" t="n">
        <v>88</v>
      </c>
      <c r="L256" s="2" t="n">
        <v>7.18</v>
      </c>
      <c r="M256" s="2" t="n">
        <v>70</v>
      </c>
      <c r="N256" s="2" t="inlineStr">
        <is>
          <t>T</t>
        </is>
      </c>
      <c r="O256" s="2" t="n">
        <v>85.5</v>
      </c>
      <c r="P256" s="2" t="inlineStr">
        <is>
          <t>🎯 Rigorista designato</t>
        </is>
      </c>
    </row>
    <row r="257">
      <c r="A257" s="2" t="inlineStr">
        <is>
          <t>McTominay</t>
        </is>
      </c>
      <c r="B257" s="2" t="inlineStr">
        <is>
          <t>Napoli</t>
        </is>
      </c>
      <c r="C257" s="2" t="inlineStr">
        <is>
          <t>C</t>
        </is>
      </c>
      <c r="D257" s="2" t="inlineStr">
        <is>
          <t>C/T</t>
        </is>
      </c>
      <c r="E257" s="2" t="n">
        <v>27</v>
      </c>
      <c r="F257" s="2" t="n">
        <v>220</v>
      </c>
      <c r="G257" s="2" t="n">
        <v>58.85</v>
      </c>
      <c r="H257" s="2" t="n">
        <v>58.75</v>
      </c>
      <c r="I257" s="2" t="n">
        <v>1</v>
      </c>
      <c r="J257" s="2" t="inlineStr">
        <is>
          <t>Top</t>
        </is>
      </c>
      <c r="K257" s="2" t="n">
        <v>81</v>
      </c>
      <c r="L257" s="2" t="n">
        <v>7.21</v>
      </c>
      <c r="M257" s="2" t="n">
        <v>0</v>
      </c>
      <c r="N257" s="2" t="inlineStr">
        <is>
          <t>T</t>
        </is>
      </c>
      <c r="O257" s="2" t="n">
        <v>50</v>
      </c>
      <c r="P257" s="2" t="inlineStr">
        <is>
          <t>🔴 Infortunato/Dubbio</t>
        </is>
      </c>
    </row>
    <row r="258">
      <c r="A258" s="2" t="inlineStr">
        <is>
          <t>Orsolini</t>
        </is>
      </c>
      <c r="B258" s="2" t="inlineStr">
        <is>
          <t>Bologna</t>
        </is>
      </c>
      <c r="C258" s="2" t="inlineStr">
        <is>
          <t>C</t>
        </is>
      </c>
      <c r="D258" s="2" t="inlineStr">
        <is>
          <t>W/A</t>
        </is>
      </c>
      <c r="E258" s="2" t="n">
        <v>25</v>
      </c>
      <c r="F258" s="2" t="n">
        <v>177</v>
      </c>
      <c r="G258" s="2" t="n">
        <v>45.15</v>
      </c>
      <c r="H258" s="2" t="n">
        <v>58.95</v>
      </c>
      <c r="I258" s="2" t="n">
        <v>1</v>
      </c>
      <c r="J258" s="2" t="inlineStr">
        <is>
          <t>Top</t>
        </is>
      </c>
      <c r="K258" s="2" t="n">
        <v>83</v>
      </c>
      <c r="L258" s="2" t="n">
        <v>7.17</v>
      </c>
      <c r="M258" s="2" t="n">
        <v>70</v>
      </c>
      <c r="N258" s="2" t="inlineStr">
        <is>
          <t>B</t>
        </is>
      </c>
      <c r="O258" s="2" t="n">
        <v>42</v>
      </c>
      <c r="P258" s="2" t="inlineStr">
        <is>
          <t>🔴 Infortunato/Dubbio</t>
        </is>
      </c>
    </row>
    <row r="259">
      <c r="A259" s="2" t="inlineStr">
        <is>
          <t>Pulisic</t>
        </is>
      </c>
      <c r="B259" s="2" t="inlineStr">
        <is>
          <t>Milan</t>
        </is>
      </c>
      <c r="C259" s="2" t="inlineStr">
        <is>
          <t>C</t>
        </is>
      </c>
      <c r="D259" s="2" t="inlineStr">
        <is>
          <t>T/A</t>
        </is>
      </c>
      <c r="E259" s="2" t="n">
        <v>24</v>
      </c>
      <c r="F259" s="2" t="n">
        <v>150</v>
      </c>
      <c r="G259" s="2" t="n">
        <v>53.85</v>
      </c>
      <c r="H259" s="2" t="n">
        <v>66.15000000000001</v>
      </c>
      <c r="I259" s="2" t="n">
        <v>1</v>
      </c>
      <c r="J259" s="2" t="inlineStr">
        <is>
          <t>Top</t>
        </is>
      </c>
      <c r="K259" s="2" t="n">
        <v>88</v>
      </c>
      <c r="L259" s="2" t="n">
        <v>7.17</v>
      </c>
      <c r="M259" s="2" t="n">
        <v>20</v>
      </c>
      <c r="N259" s="2" t="inlineStr">
        <is>
          <t>T</t>
        </is>
      </c>
      <c r="O259" s="2" t="n">
        <v>51</v>
      </c>
      <c r="P259" s="2" t="inlineStr">
        <is>
          <t>Normale</t>
        </is>
      </c>
    </row>
    <row r="260">
      <c r="A260" s="2" t="inlineStr">
        <is>
          <t>Rabiot</t>
        </is>
      </c>
      <c r="B260" s="2" t="inlineStr">
        <is>
          <t>Milan</t>
        </is>
      </c>
      <c r="C260" s="2" t="inlineStr">
        <is>
          <t>C</t>
        </is>
      </c>
      <c r="D260" s="2" t="inlineStr">
        <is>
          <t>C/T</t>
        </is>
      </c>
      <c r="E260" s="2" t="n">
        <v>23</v>
      </c>
      <c r="F260" s="2" t="n">
        <v>145</v>
      </c>
      <c r="G260" s="2" t="n">
        <v>47.65</v>
      </c>
      <c r="H260" s="2" t="n">
        <v>34.6</v>
      </c>
      <c r="I260" s="2" t="n">
        <v>2</v>
      </c>
      <c r="J260" s="2" t="inlineStr">
        <is>
          <t>Semi-Top</t>
        </is>
      </c>
      <c r="K260" s="2" t="n">
        <v>92</v>
      </c>
      <c r="L260" s="2" t="n">
        <v>6.82</v>
      </c>
      <c r="M260" s="2" t="n">
        <v>0</v>
      </c>
      <c r="N260" s="2" t="inlineStr">
        <is>
          <t>T</t>
        </is>
      </c>
      <c r="O260" s="2" t="n">
        <v>46</v>
      </c>
      <c r="P260" s="2" t="inlineStr">
        <is>
          <t>Normale</t>
        </is>
      </c>
    </row>
    <row r="261">
      <c r="A261" s="2" t="inlineStr">
        <is>
          <t>Baturina</t>
        </is>
      </c>
      <c r="B261" s="2" t="inlineStr">
        <is>
          <t>Como</t>
        </is>
      </c>
      <c r="C261" s="2" t="inlineStr">
        <is>
          <t>C</t>
        </is>
      </c>
      <c r="D261" s="2" t="inlineStr">
        <is>
          <t>T</t>
        </is>
      </c>
      <c r="E261" s="2" t="n">
        <v>20</v>
      </c>
      <c r="F261" s="2" t="n">
        <v>105</v>
      </c>
      <c r="G261" s="2" t="n">
        <v>49.9</v>
      </c>
      <c r="H261" s="2" t="n">
        <v>44.25</v>
      </c>
      <c r="I261" s="2" t="n">
        <v>1</v>
      </c>
      <c r="J261" s="2" t="inlineStr">
        <is>
          <t>Semi-Top</t>
        </is>
      </c>
      <c r="K261" s="2" t="n">
        <v>92</v>
      </c>
      <c r="L261" s="2" t="n">
        <v>6.96</v>
      </c>
      <c r="M261" s="2" t="n">
        <v>0</v>
      </c>
      <c r="N261" s="2" t="inlineStr">
        <is>
          <t>T</t>
        </is>
      </c>
      <c r="O261" s="2" t="n">
        <v>58</v>
      </c>
      <c r="P261" s="2" t="inlineStr">
        <is>
          <t>Normale</t>
        </is>
      </c>
    </row>
    <row r="262">
      <c r="A262" s="2" t="inlineStr">
        <is>
          <t>Mora</t>
        </is>
      </c>
      <c r="B262" s="2" t="inlineStr">
        <is>
          <t>Roma</t>
        </is>
      </c>
      <c r="C262" s="2" t="inlineStr">
        <is>
          <t>C</t>
        </is>
      </c>
      <c r="D262" s="2" t="inlineStr">
        <is>
          <t>T</t>
        </is>
      </c>
      <c r="E262" s="2" t="n">
        <v>20</v>
      </c>
      <c r="F262" s="2" t="n">
        <v>100</v>
      </c>
      <c r="G262" s="2" t="n">
        <v>35.45</v>
      </c>
      <c r="H262" s="2" t="n">
        <v>33.6</v>
      </c>
      <c r="I262" s="2" t="n">
        <v>2</v>
      </c>
      <c r="J262" s="2" t="inlineStr">
        <is>
          <t>OttimoTit</t>
        </is>
      </c>
      <c r="K262" s="2" t="n">
        <v>86</v>
      </c>
      <c r="L262" s="2" t="n">
        <v>6.89</v>
      </c>
      <c r="M262" s="2" t="n">
        <v>0</v>
      </c>
      <c r="N262" s="2" t="inlineStr">
        <is>
          <t>T</t>
        </is>
      </c>
      <c r="O262" s="2" t="n">
        <v>37</v>
      </c>
      <c r="P262" s="2" t="inlineStr">
        <is>
          <t>Normale</t>
        </is>
      </c>
    </row>
    <row r="263">
      <c r="A263" s="2" t="inlineStr">
        <is>
          <t>Barella</t>
        </is>
      </c>
      <c r="B263" s="2" t="inlineStr">
        <is>
          <t>Inter</t>
        </is>
      </c>
      <c r="C263" s="2" t="inlineStr">
        <is>
          <t>C</t>
        </is>
      </c>
      <c r="D263" s="2" t="inlineStr">
        <is>
          <t>C</t>
        </is>
      </c>
      <c r="E263" s="2" t="n">
        <v>18</v>
      </c>
      <c r="F263" s="2" t="n">
        <v>81</v>
      </c>
      <c r="G263" s="2" t="n">
        <v>29.15</v>
      </c>
      <c r="H263" s="2" t="n">
        <v>27.3</v>
      </c>
      <c r="I263" s="2" t="n">
        <v>3</v>
      </c>
      <c r="J263" s="2" t="inlineStr">
        <is>
          <t>OttimoTit</t>
        </is>
      </c>
      <c r="K263" s="2" t="n">
        <v>92</v>
      </c>
      <c r="L263" s="2" t="n">
        <v>6.71</v>
      </c>
      <c r="M263" s="2" t="n">
        <v>0</v>
      </c>
      <c r="N263" s="2" t="inlineStr">
        <is>
          <t>T</t>
        </is>
      </c>
      <c r="O263" s="2" t="n">
        <v>28.5</v>
      </c>
      <c r="P263" s="2" t="inlineStr">
        <is>
          <t>Normale</t>
        </is>
      </c>
    </row>
    <row r="264">
      <c r="A264" s="2" t="inlineStr">
        <is>
          <t>Da Cunha</t>
        </is>
      </c>
      <c r="B264" s="2" t="inlineStr">
        <is>
          <t>Como</t>
        </is>
      </c>
      <c r="C264" s="2" t="inlineStr">
        <is>
          <t>C</t>
        </is>
      </c>
      <c r="D264" s="2" t="inlineStr">
        <is>
          <t>C/T</t>
        </is>
      </c>
      <c r="E264" s="2" t="n">
        <v>18</v>
      </c>
      <c r="F264" s="2" t="n">
        <v>87</v>
      </c>
      <c r="G264" s="2" t="n">
        <v>28.95</v>
      </c>
      <c r="H264" s="2" t="n">
        <v>33.1</v>
      </c>
      <c r="I264" s="2" t="n">
        <v>2</v>
      </c>
      <c r="J264" s="2" t="inlineStr">
        <is>
          <t>OttimoTit</t>
        </is>
      </c>
      <c r="K264" s="2" t="n">
        <v>92</v>
      </c>
      <c r="L264" s="2" t="n">
        <v>6.79</v>
      </c>
      <c r="M264" s="2" t="n">
        <v>70</v>
      </c>
      <c r="N264" s="2" t="inlineStr">
        <is>
          <t>T</t>
        </is>
      </c>
      <c r="O264" s="2" t="n">
        <v>30.5</v>
      </c>
      <c r="P264" s="2" t="inlineStr">
        <is>
          <t>🎯 Rigorista designato</t>
        </is>
      </c>
    </row>
    <row r="265">
      <c r="A265" s="2" t="inlineStr">
        <is>
          <t>Zaniolo</t>
        </is>
      </c>
      <c r="B265" s="2" t="inlineStr">
        <is>
          <t>Udinese</t>
        </is>
      </c>
      <c r="C265" s="2" t="inlineStr">
        <is>
          <t>C</t>
        </is>
      </c>
      <c r="D265" s="2" t="inlineStr">
        <is>
          <t>T/A</t>
        </is>
      </c>
      <c r="E265" s="2" t="n">
        <v>18</v>
      </c>
      <c r="F265" s="2" t="n">
        <v>80</v>
      </c>
      <c r="G265" s="2" t="n">
        <v>20.6</v>
      </c>
      <c r="H265" s="2" t="n">
        <v>30.35</v>
      </c>
      <c r="I265" s="2" t="n">
        <v>3</v>
      </c>
      <c r="J265" s="2" t="inlineStr">
        <is>
          <t>OttimoTit</t>
        </is>
      </c>
      <c r="K265" s="2" t="n">
        <v>83</v>
      </c>
      <c r="L265" s="2" t="n">
        <v>6.9</v>
      </c>
      <c r="M265" s="2" t="n">
        <v>0</v>
      </c>
      <c r="N265" s="2" t="inlineStr">
        <is>
          <t>T</t>
        </is>
      </c>
      <c r="O265" s="2" t="n">
        <v>20</v>
      </c>
      <c r="P265" s="2" t="inlineStr">
        <is>
          <t>🔴 Infortunato/Dubbio</t>
        </is>
      </c>
    </row>
    <row r="266">
      <c r="A266" s="2" t="inlineStr">
        <is>
          <t>De Bruyne</t>
        </is>
      </c>
      <c r="B266" s="2" t="inlineStr">
        <is>
          <t>Napoli</t>
        </is>
      </c>
      <c r="C266" s="2" t="inlineStr">
        <is>
          <t>C</t>
        </is>
      </c>
      <c r="D266" s="2" t="inlineStr">
        <is>
          <t>T</t>
        </is>
      </c>
      <c r="E266" s="2" t="n">
        <v>17</v>
      </c>
      <c r="F266" s="2" t="n">
        <v>108</v>
      </c>
      <c r="G266" s="2" t="n">
        <v>28.35</v>
      </c>
      <c r="H266" s="2" t="n">
        <v>46.55</v>
      </c>
      <c r="I266" s="2" t="n">
        <v>1</v>
      </c>
      <c r="J266" s="2" t="inlineStr">
        <is>
          <t>Top</t>
        </is>
      </c>
      <c r="K266" s="2" t="n">
        <v>88</v>
      </c>
      <c r="L266" s="2" t="n">
        <v>7.06</v>
      </c>
      <c r="M266" s="2" t="n">
        <v>70</v>
      </c>
      <c r="N266" s="2" t="inlineStr">
        <is>
          <t>B</t>
        </is>
      </c>
      <c r="O266" s="2" t="n">
        <v>24</v>
      </c>
      <c r="P266" s="2" t="inlineStr">
        <is>
          <t>🎯🟡 Rigorista in Ballottaggio</t>
        </is>
      </c>
    </row>
    <row r="267">
      <c r="A267" s="2" t="inlineStr">
        <is>
          <t>McKennie</t>
        </is>
      </c>
      <c r="B267" s="2" t="inlineStr">
        <is>
          <t>Juventus</t>
        </is>
      </c>
      <c r="C267" s="2" t="inlineStr">
        <is>
          <t>C</t>
        </is>
      </c>
      <c r="D267" s="2" t="inlineStr">
        <is>
          <t>C/T</t>
        </is>
      </c>
      <c r="E267" s="2" t="n">
        <v>17</v>
      </c>
      <c r="F267" s="2" t="n">
        <v>70</v>
      </c>
      <c r="G267" s="2" t="n">
        <v>20.3</v>
      </c>
      <c r="H267" s="2" t="n">
        <v>23.35</v>
      </c>
      <c r="I267" s="2" t="n">
        <v>3</v>
      </c>
      <c r="J267" s="2" t="inlineStr">
        <is>
          <t>OttimoTit</t>
        </is>
      </c>
      <c r="K267" s="2" t="n">
        <v>84</v>
      </c>
      <c r="L267" s="2" t="n">
        <v>6.75</v>
      </c>
      <c r="M267" s="2" t="n">
        <v>0</v>
      </c>
      <c r="N267" s="2" t="inlineStr">
        <is>
          <t>B</t>
        </is>
      </c>
      <c r="O267" s="2" t="n">
        <v>21</v>
      </c>
      <c r="P267" s="2" t="inlineStr">
        <is>
          <t>🔴 Infortunato/Dubbio</t>
        </is>
      </c>
    </row>
    <row r="268">
      <c r="A268" s="2" t="inlineStr">
        <is>
          <t>Zaccagni</t>
        </is>
      </c>
      <c r="B268" s="2" t="inlineStr">
        <is>
          <t>Lazio</t>
        </is>
      </c>
      <c r="C268" s="2" t="inlineStr">
        <is>
          <t>C</t>
        </is>
      </c>
      <c r="D268" s="2" t="inlineStr">
        <is>
          <t>W/A</t>
        </is>
      </c>
      <c r="E268" s="2" t="n">
        <v>16</v>
      </c>
      <c r="F268" s="2" t="n">
        <v>87</v>
      </c>
      <c r="G268" s="2" t="n">
        <v>32.15</v>
      </c>
      <c r="H268" s="2" t="n">
        <v>39.65</v>
      </c>
      <c r="I268" s="2" t="n">
        <v>1</v>
      </c>
      <c r="J268" s="2" t="inlineStr">
        <is>
          <t>Semi-Top</t>
        </is>
      </c>
      <c r="K268" s="2" t="n">
        <v>92</v>
      </c>
      <c r="L268" s="2" t="n">
        <v>6.89</v>
      </c>
      <c r="M268" s="2" t="n">
        <v>70</v>
      </c>
      <c r="N268" s="2" t="inlineStr">
        <is>
          <t>T</t>
        </is>
      </c>
      <c r="O268" s="2" t="n">
        <v>30</v>
      </c>
      <c r="P268" s="2" t="inlineStr">
        <is>
          <t>🎯 Rigorista designato</t>
        </is>
      </c>
    </row>
    <row r="269">
      <c r="A269" s="2" t="inlineStr">
        <is>
          <t>Atta</t>
        </is>
      </c>
      <c r="B269" s="2" t="inlineStr">
        <is>
          <t>Fiorentina</t>
        </is>
      </c>
      <c r="C269" s="2" t="inlineStr">
        <is>
          <t>C</t>
        </is>
      </c>
      <c r="D269" s="2" t="inlineStr">
        <is>
          <t>C/T</t>
        </is>
      </c>
      <c r="E269" s="2" t="n">
        <v>15</v>
      </c>
      <c r="F269" s="2" t="n">
        <v>78</v>
      </c>
      <c r="G269" s="2" t="n">
        <v>25.45</v>
      </c>
      <c r="H269" s="2" t="n">
        <v>39.35</v>
      </c>
      <c r="I269" s="2" t="n">
        <v>2</v>
      </c>
      <c r="J269" s="2" t="inlineStr">
        <is>
          <t>Semi-Top</t>
        </is>
      </c>
      <c r="K269" s="2" t="n">
        <v>92</v>
      </c>
      <c r="L269" s="2" t="n">
        <v>6.89</v>
      </c>
      <c r="M269" s="2" t="n">
        <v>0</v>
      </c>
      <c r="N269" s="2" t="inlineStr">
        <is>
          <t>T</t>
        </is>
      </c>
      <c r="O269" s="2" t="n">
        <v>25</v>
      </c>
      <c r="P269" s="2" t="inlineStr">
        <is>
          <t>Normale</t>
        </is>
      </c>
    </row>
    <row r="270">
      <c r="A270" s="2" t="inlineStr">
        <is>
          <t>Conceicao</t>
        </is>
      </c>
      <c r="B270" s="2" t="inlineStr">
        <is>
          <t>Juventus</t>
        </is>
      </c>
      <c r="C270" s="2" t="inlineStr">
        <is>
          <t>C</t>
        </is>
      </c>
      <c r="D270" s="2" t="inlineStr">
        <is>
          <t>W/A</t>
        </is>
      </c>
      <c r="E270" s="2" t="n">
        <v>13</v>
      </c>
      <c r="F270" s="2" t="n">
        <v>68</v>
      </c>
      <c r="G270" s="2" t="n">
        <v>26.65</v>
      </c>
      <c r="H270" s="2" t="n">
        <v>35.25</v>
      </c>
      <c r="I270" s="2" t="n">
        <v>2</v>
      </c>
      <c r="J270" s="2" t="inlineStr">
        <is>
          <t>Semi-Top</t>
        </is>
      </c>
      <c r="K270" s="2" t="n">
        <v>88</v>
      </c>
      <c r="L270" s="2" t="n">
        <v>6.89</v>
      </c>
      <c r="M270" s="2" t="n">
        <v>0</v>
      </c>
      <c r="N270" s="2" t="inlineStr">
        <is>
          <t>T</t>
        </is>
      </c>
      <c r="O270" s="2" t="n">
        <v>27</v>
      </c>
      <c r="P270" s="2" t="inlineStr">
        <is>
          <t>Normale</t>
        </is>
      </c>
    </row>
    <row r="271">
      <c r="A271" s="2" t="inlineStr">
        <is>
          <t>Samardzic</t>
        </is>
      </c>
      <c r="B271" s="2" t="inlineStr">
        <is>
          <t>Atalanta</t>
        </is>
      </c>
      <c r="C271" s="2" t="inlineStr">
        <is>
          <t>C</t>
        </is>
      </c>
      <c r="D271" s="2" t="inlineStr">
        <is>
          <t>C/T</t>
        </is>
      </c>
      <c r="E271" s="2" t="n">
        <v>13</v>
      </c>
      <c r="F271" s="2" t="n">
        <v>44</v>
      </c>
      <c r="G271" s="2" t="n">
        <v>13.6</v>
      </c>
      <c r="H271" s="2" t="n">
        <v>15.55</v>
      </c>
      <c r="I271" s="2" t="n">
        <v>4</v>
      </c>
      <c r="J271" s="2" t="inlineStr">
        <is>
          <t>OttimoTit</t>
        </is>
      </c>
      <c r="K271" s="2" t="n">
        <v>86</v>
      </c>
      <c r="L271" s="2" t="n">
        <v>6.69</v>
      </c>
      <c r="M271" s="2" t="n">
        <v>0</v>
      </c>
      <c r="N271" s="2" t="inlineStr">
        <is>
          <t>B</t>
        </is>
      </c>
      <c r="O271" s="2" t="n">
        <v>13.5</v>
      </c>
      <c r="P271" s="2" t="inlineStr">
        <is>
          <t>🟡 Ballottaggio</t>
        </is>
      </c>
    </row>
    <row r="272">
      <c r="A272" s="2" t="inlineStr">
        <is>
          <t>Taylor K.</t>
        </is>
      </c>
      <c r="B272" s="2" t="inlineStr">
        <is>
          <t>Lazio</t>
        </is>
      </c>
      <c r="C272" s="2" t="inlineStr">
        <is>
          <t>C</t>
        </is>
      </c>
      <c r="D272" s="2" t="inlineStr">
        <is>
          <t>C/T</t>
        </is>
      </c>
      <c r="E272" s="2" t="n">
        <v>13</v>
      </c>
      <c r="F272" s="2" t="n">
        <v>53</v>
      </c>
      <c r="G272" s="2" t="n">
        <v>13.7</v>
      </c>
      <c r="H272" s="2" t="n">
        <v>13.9</v>
      </c>
      <c r="I272" s="2" t="n">
        <v>5</v>
      </c>
      <c r="J272" s="2" t="inlineStr">
        <is>
          <t>OttimoTit</t>
        </is>
      </c>
      <c r="K272" s="2" t="n">
        <v>92</v>
      </c>
      <c r="L272" s="2" t="n">
        <v>6.58</v>
      </c>
      <c r="M272" s="2" t="n">
        <v>0</v>
      </c>
      <c r="N272" s="2" t="inlineStr">
        <is>
          <t>T</t>
        </is>
      </c>
      <c r="O272" s="2" t="n">
        <v>12</v>
      </c>
      <c r="P272" s="2" t="inlineStr">
        <is>
          <t>Normale</t>
        </is>
      </c>
    </row>
    <row r="273">
      <c r="A273" s="2" t="inlineStr">
        <is>
          <t>Vlasic</t>
        </is>
      </c>
      <c r="B273" s="2" t="inlineStr">
        <is>
          <t>Torino</t>
        </is>
      </c>
      <c r="C273" s="2" t="inlineStr">
        <is>
          <t>C</t>
        </is>
      </c>
      <c r="D273" s="2" t="inlineStr">
        <is>
          <t>T</t>
        </is>
      </c>
      <c r="E273" s="2" t="n">
        <v>13</v>
      </c>
      <c r="F273" s="2" t="n">
        <v>73</v>
      </c>
      <c r="G273" s="2" t="n">
        <v>13.7</v>
      </c>
      <c r="H273" s="2" t="n">
        <v>38.6</v>
      </c>
      <c r="I273" s="2" t="n">
        <v>2</v>
      </c>
      <c r="J273" s="2" t="inlineStr">
        <is>
          <t>Semi-Top</t>
        </is>
      </c>
      <c r="K273" s="2" t="n">
        <v>92</v>
      </c>
      <c r="L273" s="2" t="n">
        <v>6.88</v>
      </c>
      <c r="M273" s="2" t="n">
        <v>70</v>
      </c>
      <c r="N273" s="2" t="inlineStr">
        <is>
          <t>T</t>
        </is>
      </c>
      <c r="O273" s="2" t="n">
        <v>15</v>
      </c>
      <c r="P273" s="2" t="inlineStr">
        <is>
          <t>🎯 Rigorista designato</t>
        </is>
      </c>
    </row>
    <row r="274">
      <c r="A274" s="2" t="inlineStr">
        <is>
          <t>Ederson D.S.</t>
        </is>
      </c>
      <c r="B274" s="2" t="inlineStr">
        <is>
          <t>Atalanta</t>
        </is>
      </c>
      <c r="C274" s="2" t="inlineStr">
        <is>
          <t>C</t>
        </is>
      </c>
      <c r="D274" s="2" t="inlineStr">
        <is>
          <t>M/C</t>
        </is>
      </c>
      <c r="E274" s="2" t="n">
        <v>12</v>
      </c>
      <c r="F274" s="2" t="n">
        <v>46</v>
      </c>
      <c r="G274" s="2" t="n">
        <v>27.2</v>
      </c>
      <c r="H274" s="2" t="n">
        <v>15.7</v>
      </c>
      <c r="I274" s="2" t="n">
        <v>4</v>
      </c>
      <c r="J274" s="2" t="inlineStr">
        <is>
          <t>OttimoTit</t>
        </is>
      </c>
      <c r="K274" s="2" t="n">
        <v>92</v>
      </c>
      <c r="L274" s="2" t="n">
        <v>6.61</v>
      </c>
      <c r="M274" s="2" t="n">
        <v>0</v>
      </c>
      <c r="N274" s="2" t="inlineStr">
        <is>
          <t>T</t>
        </is>
      </c>
      <c r="O274" s="2" t="n">
        <v>28.5</v>
      </c>
      <c r="P274" s="2" t="inlineStr">
        <is>
          <t>Normale</t>
        </is>
      </c>
    </row>
    <row r="275">
      <c r="A275" s="2" t="inlineStr">
        <is>
          <t>Ekkelenkamp</t>
        </is>
      </c>
      <c r="B275" s="2" t="inlineStr">
        <is>
          <t>Udinese</t>
        </is>
      </c>
      <c r="C275" s="2" t="inlineStr">
        <is>
          <t>C</t>
        </is>
      </c>
      <c r="D275" s="2" t="inlineStr">
        <is>
          <t>C/T</t>
        </is>
      </c>
      <c r="E275" s="2" t="n">
        <v>12</v>
      </c>
      <c r="F275" s="2" t="n">
        <v>57</v>
      </c>
      <c r="G275" s="2" t="n">
        <v>20.8</v>
      </c>
      <c r="H275" s="2" t="n">
        <v>18.35</v>
      </c>
      <c r="I275" s="2" t="n">
        <v>4</v>
      </c>
      <c r="J275" s="2" t="inlineStr">
        <is>
          <t>OttimoTit</t>
        </is>
      </c>
      <c r="K275" s="2" t="n">
        <v>92</v>
      </c>
      <c r="L275" s="2" t="n">
        <v>6.63</v>
      </c>
      <c r="M275" s="2" t="n">
        <v>10</v>
      </c>
      <c r="N275" s="2" t="inlineStr">
        <is>
          <t>T</t>
        </is>
      </c>
      <c r="O275" s="2" t="n">
        <v>21</v>
      </c>
      <c r="P275" s="2" t="inlineStr">
        <is>
          <t>Normale</t>
        </is>
      </c>
    </row>
    <row r="276">
      <c r="A276" s="2" t="inlineStr">
        <is>
          <t>Goncalves P.</t>
        </is>
      </c>
      <c r="B276" s="2" t="inlineStr">
        <is>
          <t>Fiorentina</t>
        </is>
      </c>
      <c r="C276" s="2" t="inlineStr">
        <is>
          <t>C</t>
        </is>
      </c>
      <c r="D276" s="2" t="inlineStr">
        <is>
          <t>W/T</t>
        </is>
      </c>
      <c r="E276" s="2" t="n">
        <v>12</v>
      </c>
      <c r="F276" s="2" t="n">
        <v>50</v>
      </c>
      <c r="G276" s="2" t="n">
        <v>20.1</v>
      </c>
      <c r="H276" s="2" t="n">
        <v>19.15</v>
      </c>
      <c r="I276" s="2" t="n">
        <v>4</v>
      </c>
      <c r="J276" s="2" t="inlineStr">
        <is>
          <t>OttimoTit</t>
        </is>
      </c>
      <c r="K276" s="2" t="n">
        <v>90</v>
      </c>
      <c r="L276" s="2" t="n">
        <v>6.66</v>
      </c>
      <c r="M276" s="2" t="n">
        <v>0</v>
      </c>
      <c r="N276" s="2" t="inlineStr">
        <is>
          <t>T</t>
        </is>
      </c>
      <c r="O276" s="2" t="n">
        <v>20.5</v>
      </c>
      <c r="P276" s="2" t="inlineStr">
        <is>
          <t>Normale</t>
        </is>
      </c>
    </row>
    <row r="277">
      <c r="A277" s="2" t="inlineStr">
        <is>
          <t>Gonzalez N.</t>
        </is>
      </c>
      <c r="B277" s="2" t="inlineStr">
        <is>
          <t>Juventus</t>
        </is>
      </c>
      <c r="C277" s="2" t="inlineStr">
        <is>
          <t>C</t>
        </is>
      </c>
      <c r="D277" s="2" t="inlineStr">
        <is>
          <t>W/A</t>
        </is>
      </c>
      <c r="E277" s="2" t="n">
        <v>12</v>
      </c>
      <c r="F277" s="2" t="n">
        <v>45</v>
      </c>
      <c r="G277" s="2" t="n">
        <v>10</v>
      </c>
      <c r="H277" s="2" t="n">
        <v>8.15</v>
      </c>
      <c r="I277" s="2" t="n">
        <v>5</v>
      </c>
      <c r="J277" s="2" t="inlineStr">
        <is>
          <t>OttimoTit</t>
        </is>
      </c>
      <c r="K277" s="2" t="n">
        <v>75</v>
      </c>
      <c r="L277" s="2" t="n">
        <v>6.77</v>
      </c>
      <c r="M277" s="2" t="n">
        <v>0</v>
      </c>
      <c r="N277" s="2" t="inlineStr">
        <is>
          <t>P</t>
        </is>
      </c>
      <c r="O277" s="2" t="n">
        <v>8</v>
      </c>
      <c r="P277" s="2" t="inlineStr">
        <is>
          <t>Normale</t>
        </is>
      </c>
    </row>
    <row r="278">
      <c r="A278" s="2" t="inlineStr">
        <is>
          <t>Gudmundsson A.</t>
        </is>
      </c>
      <c r="B278" s="2" t="inlineStr">
        <is>
          <t>Lazio</t>
        </is>
      </c>
      <c r="C278" s="2" t="inlineStr">
        <is>
          <t>C</t>
        </is>
      </c>
      <c r="D278" s="2" t="inlineStr">
        <is>
          <t>T/A</t>
        </is>
      </c>
      <c r="E278" s="2" t="n">
        <v>12</v>
      </c>
      <c r="F278" s="2" t="n">
        <v>40</v>
      </c>
      <c r="G278" s="2" t="n">
        <v>13.2</v>
      </c>
      <c r="H278" s="2" t="n">
        <v>26</v>
      </c>
      <c r="I278" s="2" t="n">
        <v>3</v>
      </c>
      <c r="J278" s="2" t="inlineStr">
        <is>
          <t>OttimoTit</t>
        </is>
      </c>
      <c r="K278" s="2" t="n">
        <v>88</v>
      </c>
      <c r="L278" s="2" t="n">
        <v>6.74</v>
      </c>
      <c r="M278" s="2" t="n">
        <v>20</v>
      </c>
      <c r="N278" s="2" t="inlineStr">
        <is>
          <t>B</t>
        </is>
      </c>
      <c r="O278" s="2" t="n">
        <v>13</v>
      </c>
      <c r="P278" s="2" t="inlineStr">
        <is>
          <t>🟡 Ballottaggio</t>
        </is>
      </c>
    </row>
    <row r="279">
      <c r="A279" s="2" t="inlineStr">
        <is>
          <t>Jones C.</t>
        </is>
      </c>
      <c r="B279" s="2" t="inlineStr">
        <is>
          <t>Inter</t>
        </is>
      </c>
      <c r="C279" s="2" t="inlineStr">
        <is>
          <t>C</t>
        </is>
      </c>
      <c r="D279" s="2" t="inlineStr">
        <is>
          <t>C</t>
        </is>
      </c>
      <c r="E279" s="2" t="n">
        <v>12</v>
      </c>
      <c r="F279" s="2" t="n">
        <v>47</v>
      </c>
      <c r="G279" s="2" t="n">
        <v>11.15</v>
      </c>
      <c r="H279" s="2" t="n">
        <v>19.55</v>
      </c>
      <c r="I279" s="2" t="n">
        <v>3</v>
      </c>
      <c r="J279" s="2" t="inlineStr">
        <is>
          <t>OttimoTit</t>
        </is>
      </c>
      <c r="K279" s="2" t="n">
        <v>90</v>
      </c>
      <c r="L279" s="2" t="n">
        <v>6.67</v>
      </c>
      <c r="M279" s="2" t="n">
        <v>0</v>
      </c>
      <c r="N279" s="2" t="inlineStr">
        <is>
          <t>B</t>
        </is>
      </c>
      <c r="O279" s="2" t="n">
        <v>9</v>
      </c>
      <c r="P279" s="2" t="inlineStr">
        <is>
          <t>🟡 Ballottaggio</t>
        </is>
      </c>
    </row>
    <row r="280">
      <c r="A280" s="2" t="inlineStr">
        <is>
          <t>Kessiè</t>
        </is>
      </c>
      <c r="B280" s="2" t="inlineStr">
        <is>
          <t>Atalanta</t>
        </is>
      </c>
      <c r="C280" s="2" t="inlineStr">
        <is>
          <t>C</t>
        </is>
      </c>
      <c r="D280" s="2" t="inlineStr">
        <is>
          <t>C</t>
        </is>
      </c>
      <c r="E280" s="2" t="n">
        <v>12</v>
      </c>
      <c r="F280" s="2" t="n">
        <v>47</v>
      </c>
      <c r="G280" s="2" t="n">
        <v>13.2</v>
      </c>
      <c r="H280" s="2" t="n">
        <v>16.1</v>
      </c>
      <c r="I280" s="2" t="n">
        <v>4</v>
      </c>
      <c r="J280" s="2" t="inlineStr">
        <is>
          <t>OttimoTit</t>
        </is>
      </c>
      <c r="K280" s="2" t="n">
        <v>88</v>
      </c>
      <c r="L280" s="2" t="n">
        <v>6.67</v>
      </c>
      <c r="M280" s="2" t="n">
        <v>70</v>
      </c>
      <c r="N280" s="2" t="inlineStr">
        <is>
          <t>B</t>
        </is>
      </c>
      <c r="O280" s="2" t="n">
        <v>11</v>
      </c>
      <c r="P280" s="2" t="inlineStr">
        <is>
          <t>🎯🟡 Rigorista in Ballottaggio</t>
        </is>
      </c>
    </row>
    <row r="281">
      <c r="A281" s="2" t="inlineStr">
        <is>
          <t>Modric</t>
        </is>
      </c>
      <c r="B281" s="2" t="inlineStr">
        <is>
          <t>Milan</t>
        </is>
      </c>
      <c r="C281" s="2" t="inlineStr">
        <is>
          <t>C</t>
        </is>
      </c>
      <c r="D281" s="2" t="inlineStr">
        <is>
          <t>M/C</t>
        </is>
      </c>
      <c r="E281" s="2" t="n">
        <v>12</v>
      </c>
      <c r="F281" s="2" t="n">
        <v>45</v>
      </c>
      <c r="G281" s="2" t="n">
        <v>15.3</v>
      </c>
      <c r="H281" s="2" t="n">
        <v>2.75</v>
      </c>
      <c r="I281" s="2" t="n">
        <v>6</v>
      </c>
      <c r="J281" s="2" t="inlineStr">
        <is>
          <t>OttimoTit</t>
        </is>
      </c>
      <c r="K281" s="2" t="n">
        <v>88</v>
      </c>
      <c r="L281" s="2" t="n">
        <v>6.49</v>
      </c>
      <c r="M281" s="2" t="n">
        <v>10</v>
      </c>
      <c r="N281" s="2" t="inlineStr">
        <is>
          <t>T</t>
        </is>
      </c>
      <c r="O281" s="2" t="n">
        <v>13.5</v>
      </c>
      <c r="P281" s="2" t="inlineStr">
        <is>
          <t>Normale</t>
        </is>
      </c>
    </row>
    <row r="282">
      <c r="A282" s="2" t="inlineStr">
        <is>
          <t>Zielinski</t>
        </is>
      </c>
      <c r="B282" s="2" t="inlineStr">
        <is>
          <t>Inter</t>
        </is>
      </c>
      <c r="C282" s="2" t="inlineStr">
        <is>
          <t>C</t>
        </is>
      </c>
      <c r="D282" s="2" t="inlineStr">
        <is>
          <t>C</t>
        </is>
      </c>
      <c r="E282" s="2" t="n">
        <v>12</v>
      </c>
      <c r="F282" s="2" t="n">
        <v>45</v>
      </c>
      <c r="G282" s="2" t="n">
        <v>18.75</v>
      </c>
      <c r="H282" s="2" t="n">
        <v>31.45</v>
      </c>
      <c r="I282" s="2" t="n">
        <v>3</v>
      </c>
      <c r="J282" s="2" t="inlineStr">
        <is>
          <t>OttimoTit</t>
        </is>
      </c>
      <c r="K282" s="2" t="n">
        <v>86</v>
      </c>
      <c r="L282" s="2" t="n">
        <v>6.86</v>
      </c>
      <c r="M282" s="2" t="n">
        <v>20</v>
      </c>
      <c r="N282" s="2" t="inlineStr">
        <is>
          <t>B</t>
        </is>
      </c>
      <c r="O282" s="2" t="n">
        <v>19</v>
      </c>
      <c r="P282" s="2" t="inlineStr">
        <is>
          <t>🟡 Ballottaggio</t>
        </is>
      </c>
    </row>
    <row r="283">
      <c r="A283" s="2" t="inlineStr">
        <is>
          <t>Alajbegovic</t>
        </is>
      </c>
      <c r="B283" s="2" t="inlineStr">
        <is>
          <t>Juventus</t>
        </is>
      </c>
      <c r="C283" s="2" t="inlineStr">
        <is>
          <t>C</t>
        </is>
      </c>
      <c r="D283" s="2" t="inlineStr">
        <is>
          <t>W/T</t>
        </is>
      </c>
      <c r="E283" s="2" t="n">
        <v>11</v>
      </c>
      <c r="F283" s="2" t="n">
        <v>42</v>
      </c>
      <c r="G283" s="2" t="n">
        <v>13.95</v>
      </c>
      <c r="H283" s="2" t="n">
        <v>34.35</v>
      </c>
      <c r="I283" s="2" t="n">
        <v>2</v>
      </c>
      <c r="J283" s="2" t="inlineStr">
        <is>
          <t>OttimoTit</t>
        </is>
      </c>
      <c r="K283" s="2" t="n">
        <v>86</v>
      </c>
      <c r="L283" s="2" t="n">
        <v>6.9</v>
      </c>
      <c r="M283" s="2" t="n">
        <v>0</v>
      </c>
      <c r="N283" s="2" t="inlineStr">
        <is>
          <t>B</t>
        </is>
      </c>
      <c r="O283" s="2" t="n">
        <v>12</v>
      </c>
      <c r="P283" s="2" t="inlineStr">
        <is>
          <t>🟡 Ballottaggio</t>
        </is>
      </c>
    </row>
    <row r="284">
      <c r="A284" s="2" t="inlineStr">
        <is>
          <t>Baldanzi</t>
        </is>
      </c>
      <c r="B284" s="2" t="inlineStr">
        <is>
          <t>Genoa</t>
        </is>
      </c>
      <c r="C284" s="2" t="inlineStr">
        <is>
          <t>C</t>
        </is>
      </c>
      <c r="D284" s="2" t="inlineStr">
        <is>
          <t>T</t>
        </is>
      </c>
      <c r="E284" s="2" t="n">
        <v>11</v>
      </c>
      <c r="F284" s="2" t="n">
        <v>28</v>
      </c>
      <c r="G284" s="2" t="n">
        <v>2.95</v>
      </c>
      <c r="H284" s="2" t="n">
        <v>2.65</v>
      </c>
      <c r="I284" s="2" t="n">
        <v>6</v>
      </c>
      <c r="J284" s="2" t="inlineStr">
        <is>
          <t>OttimoTit</t>
        </is>
      </c>
      <c r="K284" s="2" t="n">
        <v>88</v>
      </c>
      <c r="L284" s="2" t="n">
        <v>6.49</v>
      </c>
      <c r="M284" s="2" t="n">
        <v>0</v>
      </c>
      <c r="N284" s="2" t="inlineStr">
        <is>
          <t>T</t>
        </is>
      </c>
      <c r="O284" s="2" t="n">
        <v>2</v>
      </c>
      <c r="P284" s="2" t="inlineStr">
        <is>
          <t>Normale</t>
        </is>
      </c>
    </row>
    <row r="285">
      <c r="A285" s="2" t="inlineStr">
        <is>
          <t>Mastantuono</t>
        </is>
      </c>
      <c r="B285" s="2" t="inlineStr">
        <is>
          <t>Fiorentina</t>
        </is>
      </c>
      <c r="C285" s="2" t="inlineStr">
        <is>
          <t>C</t>
        </is>
      </c>
      <c r="D285" s="2" t="inlineStr">
        <is>
          <t>W/T</t>
        </is>
      </c>
      <c r="E285" s="2" t="n">
        <v>11</v>
      </c>
      <c r="F285" s="2" t="n">
        <v>50</v>
      </c>
      <c r="G285" s="2" t="n">
        <v>28.35</v>
      </c>
      <c r="H285" s="2" t="n">
        <v>36.3</v>
      </c>
      <c r="I285" s="2" t="n">
        <v>2</v>
      </c>
      <c r="J285" s="2" t="inlineStr">
        <is>
          <t>Semi-Top</t>
        </is>
      </c>
      <c r="K285" s="2" t="n">
        <v>92</v>
      </c>
      <c r="L285" s="2" t="n">
        <v>6.84</v>
      </c>
      <c r="M285" s="2" t="n">
        <v>70</v>
      </c>
      <c r="N285" s="2" t="inlineStr">
        <is>
          <t>T</t>
        </is>
      </c>
      <c r="O285" s="2" t="n">
        <v>26</v>
      </c>
      <c r="P285" s="2" t="inlineStr">
        <is>
          <t>🎯 Rigorista designato</t>
        </is>
      </c>
    </row>
    <row r="286">
      <c r="A286" s="2" t="inlineStr">
        <is>
          <t>Moreira</t>
        </is>
      </c>
      <c r="B286" s="2" t="inlineStr">
        <is>
          <t>Milan</t>
        </is>
      </c>
      <c r="C286" s="2" t="inlineStr">
        <is>
          <t>C</t>
        </is>
      </c>
      <c r="D286" s="2" t="inlineStr">
        <is>
          <t>E/W</t>
        </is>
      </c>
      <c r="E286" s="2" t="n">
        <v>11</v>
      </c>
      <c r="F286" s="2" t="n">
        <v>45</v>
      </c>
      <c r="G286" s="2" t="n">
        <v>15.75</v>
      </c>
      <c r="H286" s="2" t="n">
        <v>19.65</v>
      </c>
      <c r="I286" s="2" t="n">
        <v>3</v>
      </c>
      <c r="J286" s="2" t="inlineStr">
        <is>
          <t>OttimoTit</t>
        </is>
      </c>
      <c r="K286" s="2" t="n">
        <v>88</v>
      </c>
      <c r="L286" s="2" t="n">
        <v>6.7</v>
      </c>
      <c r="M286" s="2" t="n">
        <v>0</v>
      </c>
      <c r="N286" s="2" t="inlineStr">
        <is>
          <t>B</t>
        </is>
      </c>
      <c r="O286" s="2" t="n">
        <v>17</v>
      </c>
      <c r="P286" s="2" t="inlineStr">
        <is>
          <t>🟡 Ballottaggio</t>
        </is>
      </c>
    </row>
    <row r="287">
      <c r="A287" s="2" t="inlineStr">
        <is>
          <t>Rodriguez Je.</t>
        </is>
      </c>
      <c r="B287" s="2" t="inlineStr">
        <is>
          <t>Como</t>
        </is>
      </c>
      <c r="C287" s="2" t="inlineStr">
        <is>
          <t>C</t>
        </is>
      </c>
      <c r="D287" s="2" t="inlineStr">
        <is>
          <t>W/A</t>
        </is>
      </c>
      <c r="E287" s="2" t="n">
        <v>11</v>
      </c>
      <c r="F287" s="2" t="n">
        <v>31</v>
      </c>
      <c r="G287" s="2" t="n">
        <v>4</v>
      </c>
      <c r="H287" s="2" t="n">
        <v>2.5</v>
      </c>
      <c r="I287" s="2" t="n">
        <v>6</v>
      </c>
      <c r="J287" s="2" t="inlineStr">
        <is>
          <t>OttimoTit</t>
        </is>
      </c>
      <c r="K287" s="2" t="n">
        <v>80</v>
      </c>
      <c r="L287" s="2" t="n">
        <v>6.59</v>
      </c>
      <c r="M287" s="2" t="n">
        <v>0</v>
      </c>
      <c r="N287" s="2" t="inlineStr">
        <is>
          <t>P</t>
        </is>
      </c>
      <c r="O287" s="2" t="n">
        <v>2</v>
      </c>
      <c r="P287" s="2" t="inlineStr">
        <is>
          <t>Normale</t>
        </is>
      </c>
    </row>
    <row r="288">
      <c r="A288" s="2" t="inlineStr">
        <is>
          <t>Saelemaekers</t>
        </is>
      </c>
      <c r="B288" s="2" t="inlineStr">
        <is>
          <t>Milan</t>
        </is>
      </c>
      <c r="C288" s="2" t="inlineStr">
        <is>
          <t>C</t>
        </is>
      </c>
      <c r="D288" s="2" t="inlineStr">
        <is>
          <t>E/W</t>
        </is>
      </c>
      <c r="E288" s="2" t="n">
        <v>11</v>
      </c>
      <c r="F288" s="2" t="n">
        <v>35</v>
      </c>
      <c r="G288" s="2" t="n">
        <v>12.35</v>
      </c>
      <c r="H288" s="2" t="n">
        <v>4.5</v>
      </c>
      <c r="I288" s="2" t="n">
        <v>5</v>
      </c>
      <c r="J288" s="2" t="inlineStr">
        <is>
          <t>OttimoTit</t>
        </is>
      </c>
      <c r="K288" s="2" t="n">
        <v>76</v>
      </c>
      <c r="L288" s="2" t="n">
        <v>6.69</v>
      </c>
      <c r="M288" s="2" t="n">
        <v>0</v>
      </c>
      <c r="N288" s="2" t="inlineStr">
        <is>
          <t>P</t>
        </is>
      </c>
      <c r="O288" s="2" t="n">
        <v>11</v>
      </c>
      <c r="P288" s="2" t="inlineStr">
        <is>
          <t>Normale</t>
        </is>
      </c>
    </row>
    <row r="289">
      <c r="A289" s="2" t="inlineStr">
        <is>
          <t>Bernardeschi</t>
        </is>
      </c>
      <c r="B289" s="2" t="inlineStr">
        <is>
          <t>Bologna</t>
        </is>
      </c>
      <c r="C289" s="2" t="inlineStr">
        <is>
          <t>C</t>
        </is>
      </c>
      <c r="D289" s="2" t="inlineStr">
        <is>
          <t>W/T</t>
        </is>
      </c>
      <c r="E289" s="2" t="n">
        <v>10</v>
      </c>
      <c r="F289" s="2" t="n">
        <v>27</v>
      </c>
      <c r="G289" s="2" t="n">
        <v>8.25</v>
      </c>
      <c r="H289" s="2" t="n">
        <v>9</v>
      </c>
      <c r="I289" s="2" t="n">
        <v>5</v>
      </c>
      <c r="J289" s="2" t="inlineStr">
        <is>
          <t>OttimoTit</t>
        </is>
      </c>
      <c r="K289" s="2" t="n">
        <v>86</v>
      </c>
      <c r="L289" s="2" t="n">
        <v>6.63</v>
      </c>
      <c r="M289" s="2" t="n">
        <v>10</v>
      </c>
      <c r="N289" s="2" t="inlineStr">
        <is>
          <t>B</t>
        </is>
      </c>
      <c r="O289" s="2" t="n">
        <v>7.5</v>
      </c>
      <c r="P289" s="2" t="inlineStr">
        <is>
          <t>🟡 Ballottaggio</t>
        </is>
      </c>
    </row>
    <row r="290">
      <c r="A290" s="2" t="inlineStr">
        <is>
          <t>Frattesi</t>
        </is>
      </c>
      <c r="B290" s="2" t="inlineStr">
        <is>
          <t>Lazio</t>
        </is>
      </c>
      <c r="C290" s="2" t="inlineStr">
        <is>
          <t>C</t>
        </is>
      </c>
      <c r="D290" s="2" t="inlineStr">
        <is>
          <t>C/T</t>
        </is>
      </c>
      <c r="E290" s="2" t="n">
        <v>10</v>
      </c>
      <c r="F290" s="2" t="n">
        <v>75</v>
      </c>
      <c r="G290" s="2" t="n">
        <v>36.8</v>
      </c>
      <c r="H290" s="2" t="n">
        <v>19.35</v>
      </c>
      <c r="I290" s="2" t="n">
        <v>4</v>
      </c>
      <c r="J290" s="2" t="inlineStr">
        <is>
          <t>OttimoTit</t>
        </is>
      </c>
      <c r="K290" s="2" t="n">
        <v>91</v>
      </c>
      <c r="L290" s="2" t="n">
        <v>6.65</v>
      </c>
      <c r="M290" s="2" t="n">
        <v>0</v>
      </c>
      <c r="N290" s="2" t="inlineStr">
        <is>
          <t>T</t>
        </is>
      </c>
      <c r="O290" s="2" t="n">
        <v>36</v>
      </c>
      <c r="P290" s="2" t="inlineStr">
        <is>
          <t>Normale</t>
        </is>
      </c>
    </row>
    <row r="291">
      <c r="A291" s="2" t="inlineStr">
        <is>
          <t>Konè M.</t>
        </is>
      </c>
      <c r="B291" s="2" t="inlineStr">
        <is>
          <t>Roma</t>
        </is>
      </c>
      <c r="C291" s="2" t="inlineStr">
        <is>
          <t>C</t>
        </is>
      </c>
      <c r="D291" s="2" t="inlineStr">
        <is>
          <t>M/C</t>
        </is>
      </c>
      <c r="E291" s="2" t="n">
        <v>10</v>
      </c>
      <c r="F291" s="2" t="n">
        <v>42</v>
      </c>
      <c r="G291" s="2" t="n">
        <v>27.2</v>
      </c>
      <c r="H291" s="2" t="n">
        <v>15.6</v>
      </c>
      <c r="I291" s="2" t="n">
        <v>4</v>
      </c>
      <c r="J291" s="2" t="inlineStr">
        <is>
          <t>OttimoTit</t>
        </is>
      </c>
      <c r="K291" s="2" t="n">
        <v>92</v>
      </c>
      <c r="L291" s="2" t="n">
        <v>6.61</v>
      </c>
      <c r="M291" s="2" t="n">
        <v>0</v>
      </c>
      <c r="N291" s="2" t="inlineStr">
        <is>
          <t>T</t>
        </is>
      </c>
      <c r="O291" s="2" t="n">
        <v>26.5</v>
      </c>
      <c r="P291" s="2" t="inlineStr">
        <is>
          <t>Normale</t>
        </is>
      </c>
    </row>
    <row r="292">
      <c r="A292" s="2" t="inlineStr">
        <is>
          <t>Perrone</t>
        </is>
      </c>
      <c r="B292" s="2" t="inlineStr">
        <is>
          <t>Como</t>
        </is>
      </c>
      <c r="C292" s="2" t="inlineStr">
        <is>
          <t>C</t>
        </is>
      </c>
      <c r="D292" s="2" t="inlineStr">
        <is>
          <t>M/C</t>
        </is>
      </c>
      <c r="E292" s="2" t="n">
        <v>10</v>
      </c>
      <c r="F292" s="2" t="n">
        <v>34</v>
      </c>
      <c r="G292" s="2" t="n">
        <v>8.949999999999999</v>
      </c>
      <c r="H292" s="2" t="n">
        <v>0.5</v>
      </c>
      <c r="I292" s="2" t="n">
        <v>8</v>
      </c>
      <c r="J292" s="2" t="inlineStr">
        <is>
          <t>TitLowCost</t>
        </is>
      </c>
      <c r="K292" s="2" t="n">
        <v>88</v>
      </c>
      <c r="L292" s="2" t="n">
        <v>6.44</v>
      </c>
      <c r="M292" s="2" t="n">
        <v>0</v>
      </c>
      <c r="N292" s="2" t="inlineStr">
        <is>
          <t>B</t>
        </is>
      </c>
      <c r="O292" s="2" t="n">
        <v>8</v>
      </c>
      <c r="P292" s="2" t="inlineStr">
        <is>
          <t>🟡 Ballottaggio</t>
        </is>
      </c>
    </row>
    <row r="293">
      <c r="A293" s="2" t="inlineStr">
        <is>
          <t>Rowe</t>
        </is>
      </c>
      <c r="B293" s="2" t="inlineStr">
        <is>
          <t>Atalanta</t>
        </is>
      </c>
      <c r="C293" s="2" t="inlineStr">
        <is>
          <t>C</t>
        </is>
      </c>
      <c r="D293" s="2" t="inlineStr">
        <is>
          <t>W/T</t>
        </is>
      </c>
      <c r="E293" s="2" t="n">
        <v>10</v>
      </c>
      <c r="F293" s="2" t="n">
        <v>40</v>
      </c>
      <c r="G293" s="2" t="n">
        <v>21.95</v>
      </c>
      <c r="H293" s="2" t="n">
        <v>28.3</v>
      </c>
      <c r="I293" s="2" t="n">
        <v>3</v>
      </c>
      <c r="J293" s="2" t="inlineStr">
        <is>
          <t>OttimoTit</t>
        </is>
      </c>
      <c r="K293" s="2" t="n">
        <v>88</v>
      </c>
      <c r="L293" s="2" t="n">
        <v>6.78</v>
      </c>
      <c r="M293" s="2" t="n">
        <v>0</v>
      </c>
      <c r="N293" s="2" t="inlineStr">
        <is>
          <t>B</t>
        </is>
      </c>
      <c r="O293" s="2" t="n">
        <v>22</v>
      </c>
      <c r="P293" s="2" t="inlineStr">
        <is>
          <t>🟡 Ballottaggio</t>
        </is>
      </c>
    </row>
    <row r="294">
      <c r="A294" s="2" t="inlineStr">
        <is>
          <t>Thorstvedt</t>
        </is>
      </c>
      <c r="B294" s="2" t="inlineStr">
        <is>
          <t>Sassuolo</t>
        </is>
      </c>
      <c r="C294" s="2" t="inlineStr">
        <is>
          <t>C</t>
        </is>
      </c>
      <c r="D294" s="2" t="inlineStr">
        <is>
          <t>C/T</t>
        </is>
      </c>
      <c r="E294" s="2" t="n">
        <v>10</v>
      </c>
      <c r="F294" s="2" t="n">
        <v>39</v>
      </c>
      <c r="G294" s="2" t="n">
        <v>3.6</v>
      </c>
      <c r="H294" s="2" t="n">
        <v>0.5</v>
      </c>
      <c r="I294" s="2" t="n">
        <v>8</v>
      </c>
      <c r="J294" s="2" t="inlineStr">
        <is>
          <t>Riserva</t>
        </is>
      </c>
      <c r="K294" s="2" t="n">
        <v>60</v>
      </c>
      <c r="L294" s="2" t="n">
        <v>6.27</v>
      </c>
      <c r="M294" s="2" t="n">
        <v>0</v>
      </c>
      <c r="N294" s="2" t="inlineStr">
        <is>
          <t>P</t>
        </is>
      </c>
      <c r="O294" s="2" t="n">
        <v>3</v>
      </c>
      <c r="P294" s="2" t="inlineStr">
        <is>
          <t>🪑 Riserva Fissa (da fasciaFc)</t>
        </is>
      </c>
    </row>
    <row r="295">
      <c r="A295" s="2" t="inlineStr">
        <is>
          <t>Vergara</t>
        </is>
      </c>
      <c r="B295" s="2" t="inlineStr">
        <is>
          <t>Napoli</t>
        </is>
      </c>
      <c r="C295" s="2" t="inlineStr">
        <is>
          <t>C</t>
        </is>
      </c>
      <c r="D295" s="2" t="inlineStr">
        <is>
          <t>W/T</t>
        </is>
      </c>
      <c r="E295" s="2" t="n">
        <v>10</v>
      </c>
      <c r="F295" s="2" t="n">
        <v>35</v>
      </c>
      <c r="G295" s="2" t="n">
        <v>6.15</v>
      </c>
      <c r="H295" s="2" t="n">
        <v>0.5</v>
      </c>
      <c r="I295" s="2" t="n">
        <v>7</v>
      </c>
      <c r="J295" s="2" t="inlineStr">
        <is>
          <t>TitLowCost</t>
        </is>
      </c>
      <c r="K295" s="2" t="n">
        <v>80</v>
      </c>
      <c r="L295" s="2" t="n">
        <v>6.55</v>
      </c>
      <c r="M295" s="2" t="n">
        <v>0</v>
      </c>
      <c r="N295" s="2" t="inlineStr">
        <is>
          <t>P</t>
        </is>
      </c>
      <c r="O295" s="2" t="n">
        <v>4.5</v>
      </c>
      <c r="P295" s="2" t="inlineStr">
        <is>
          <t>Normale</t>
        </is>
      </c>
    </row>
    <row r="296">
      <c r="A296" s="2" t="inlineStr">
        <is>
          <t>Zambo Anguissa</t>
        </is>
      </c>
      <c r="B296" s="2" t="inlineStr">
        <is>
          <t>Napoli</t>
        </is>
      </c>
      <c r="C296" s="2" t="inlineStr">
        <is>
          <t>C</t>
        </is>
      </c>
      <c r="D296" s="2" t="inlineStr">
        <is>
          <t>C</t>
        </is>
      </c>
      <c r="E296" s="2" t="n">
        <v>10</v>
      </c>
      <c r="F296" s="2" t="n">
        <v>41</v>
      </c>
      <c r="G296" s="2" t="n">
        <v>8.550000000000001</v>
      </c>
      <c r="H296" s="2" t="n">
        <v>12.95</v>
      </c>
      <c r="I296" s="2" t="n">
        <v>5</v>
      </c>
      <c r="J296" s="2" t="inlineStr">
        <is>
          <t>OttimoTit</t>
        </is>
      </c>
      <c r="K296" s="2" t="n">
        <v>86</v>
      </c>
      <c r="L296" s="2" t="n">
        <v>6.64</v>
      </c>
      <c r="M296" s="2" t="n">
        <v>0</v>
      </c>
      <c r="N296" s="2" t="inlineStr">
        <is>
          <t>B</t>
        </is>
      </c>
      <c r="O296" s="2" t="n">
        <v>8</v>
      </c>
      <c r="P296" s="2" t="inlineStr">
        <is>
          <t>🟡 Ballottaggio</t>
        </is>
      </c>
    </row>
    <row r="297">
      <c r="A297" s="2" t="inlineStr">
        <is>
          <t>Cancellieri</t>
        </is>
      </c>
      <c r="B297" s="2" t="inlineStr">
        <is>
          <t>Lazio</t>
        </is>
      </c>
      <c r="C297" s="2" t="inlineStr">
        <is>
          <t>C</t>
        </is>
      </c>
      <c r="D297" s="2" t="inlineStr">
        <is>
          <t>W/A</t>
        </is>
      </c>
      <c r="E297" s="2" t="n">
        <v>9</v>
      </c>
      <c r="F297" s="2" t="n">
        <v>25</v>
      </c>
      <c r="G297" s="2" t="n">
        <v>1.4</v>
      </c>
      <c r="H297" s="2" t="n">
        <v>0.5</v>
      </c>
      <c r="I297" s="2" t="n">
        <v>8</v>
      </c>
      <c r="J297" s="2" t="inlineStr">
        <is>
          <t>Riserva</t>
        </is>
      </c>
      <c r="K297" s="2" t="n">
        <v>60</v>
      </c>
      <c r="L297" s="2" t="n">
        <v>6.26</v>
      </c>
      <c r="M297" s="2" t="n">
        <v>0</v>
      </c>
      <c r="N297" s="2" t="inlineStr">
        <is>
          <t>P</t>
        </is>
      </c>
      <c r="O297" s="2" t="n">
        <v>1</v>
      </c>
      <c r="P297" s="2" t="inlineStr">
        <is>
          <t>🪑 Riserva Fissa (da fasciaFc)</t>
        </is>
      </c>
    </row>
    <row r="298">
      <c r="A298" s="2" t="inlineStr">
        <is>
          <t>Casadei</t>
        </is>
      </c>
      <c r="B298" s="2" t="inlineStr">
        <is>
          <t>Torino</t>
        </is>
      </c>
      <c r="C298" s="2" t="inlineStr">
        <is>
          <t>C</t>
        </is>
      </c>
      <c r="D298" s="2" t="inlineStr">
        <is>
          <t>C/T</t>
        </is>
      </c>
      <c r="E298" s="2" t="n">
        <v>9</v>
      </c>
      <c r="F298" s="2" t="n">
        <v>27</v>
      </c>
      <c r="G298" s="2" t="n">
        <v>3.9</v>
      </c>
      <c r="H298" s="2" t="n">
        <v>0.5</v>
      </c>
      <c r="I298" s="2" t="n">
        <v>8</v>
      </c>
      <c r="J298" s="2" t="inlineStr">
        <is>
          <t>TitLowCost</t>
        </is>
      </c>
      <c r="K298" s="2" t="n">
        <v>84</v>
      </c>
      <c r="L298" s="2" t="n">
        <v>6.49</v>
      </c>
      <c r="M298" s="2" t="n">
        <v>0</v>
      </c>
      <c r="N298" s="2" t="inlineStr">
        <is>
          <t>T</t>
        </is>
      </c>
      <c r="O298" s="2" t="n">
        <v>3</v>
      </c>
      <c r="P298" s="2" t="inlineStr">
        <is>
          <t>🔴 Infortunato/Dubbio</t>
        </is>
      </c>
    </row>
    <row r="299">
      <c r="A299" s="2" t="inlineStr">
        <is>
          <t>Colpani</t>
        </is>
      </c>
      <c r="B299" s="2" t="inlineStr">
        <is>
          <t>Monza</t>
        </is>
      </c>
      <c r="C299" s="2" t="inlineStr">
        <is>
          <t>C</t>
        </is>
      </c>
      <c r="D299" s="2" t="inlineStr">
        <is>
          <t>T</t>
        </is>
      </c>
      <c r="E299" s="2" t="n">
        <v>9</v>
      </c>
      <c r="F299" s="2" t="n">
        <v>15</v>
      </c>
      <c r="G299" s="2" t="n">
        <v>2.3</v>
      </c>
      <c r="H299" s="2" t="n">
        <v>0.5</v>
      </c>
      <c r="I299" s="2" t="n">
        <v>8</v>
      </c>
      <c r="J299" s="2" t="inlineStr">
        <is>
          <t>TitLowCost</t>
        </is>
      </c>
      <c r="K299" s="2" t="n">
        <v>88</v>
      </c>
      <c r="L299" s="2" t="n">
        <v>6.41</v>
      </c>
      <c r="M299" s="2" t="n">
        <v>0</v>
      </c>
      <c r="N299" s="2" t="inlineStr">
        <is>
          <t>B</t>
        </is>
      </c>
      <c r="O299" s="2" t="n">
        <v>1</v>
      </c>
      <c r="P299" s="2" t="inlineStr">
        <is>
          <t>🟡 Ballottaggio</t>
        </is>
      </c>
    </row>
    <row r="300">
      <c r="A300" s="2" t="inlineStr">
        <is>
          <t>Cristante</t>
        </is>
      </c>
      <c r="B300" s="2" t="inlineStr">
        <is>
          <t>Roma</t>
        </is>
      </c>
      <c r="C300" s="2" t="inlineStr">
        <is>
          <t>C</t>
        </is>
      </c>
      <c r="D300" s="2" t="inlineStr">
        <is>
          <t>M/C</t>
        </is>
      </c>
      <c r="E300" s="2" t="n">
        <v>9</v>
      </c>
      <c r="F300" s="2" t="n">
        <v>29</v>
      </c>
      <c r="G300" s="2" t="n">
        <v>6.9</v>
      </c>
      <c r="H300" s="2" t="n">
        <v>0.5</v>
      </c>
      <c r="I300" s="2" t="n">
        <v>8</v>
      </c>
      <c r="J300" s="2" t="inlineStr">
        <is>
          <t>TitLowCost</t>
        </is>
      </c>
      <c r="K300" s="2" t="n">
        <v>86</v>
      </c>
      <c r="L300" s="2" t="n">
        <v>6.4</v>
      </c>
      <c r="M300" s="2" t="n">
        <v>0</v>
      </c>
      <c r="N300" s="2" t="inlineStr">
        <is>
          <t>T</t>
        </is>
      </c>
      <c r="O300" s="2" t="n">
        <v>6</v>
      </c>
      <c r="P300" s="2" t="inlineStr">
        <is>
          <t>Normale</t>
        </is>
      </c>
    </row>
    <row r="301">
      <c r="A301" s="2" t="inlineStr">
        <is>
          <t>Diouf</t>
        </is>
      </c>
      <c r="B301" s="2" t="inlineStr">
        <is>
          <t>Inter</t>
        </is>
      </c>
      <c r="C301" s="2" t="inlineStr">
        <is>
          <t>C</t>
        </is>
      </c>
      <c r="D301" s="2" t="inlineStr">
        <is>
          <t>E/C</t>
        </is>
      </c>
      <c r="E301" s="2" t="n">
        <v>9</v>
      </c>
      <c r="F301" s="2" t="n">
        <v>43</v>
      </c>
      <c r="G301" s="2" t="n">
        <v>18.05</v>
      </c>
      <c r="H301" s="2" t="n">
        <v>7.25</v>
      </c>
      <c r="I301" s="2" t="n">
        <v>5</v>
      </c>
      <c r="J301" s="2" t="inlineStr">
        <is>
          <t>OttimoTit</t>
        </is>
      </c>
      <c r="K301" s="2" t="n">
        <v>84</v>
      </c>
      <c r="L301" s="2" t="n">
        <v>6.63</v>
      </c>
      <c r="M301" s="2" t="n">
        <v>0</v>
      </c>
      <c r="N301" s="2" t="inlineStr">
        <is>
          <t>B</t>
        </is>
      </c>
      <c r="O301" s="2" t="n">
        <v>18</v>
      </c>
      <c r="P301" s="2" t="inlineStr">
        <is>
          <t>🟡 Ballottaggio</t>
        </is>
      </c>
    </row>
    <row r="302">
      <c r="A302" s="2" t="inlineStr">
        <is>
          <t>Isaksen</t>
        </is>
      </c>
      <c r="B302" s="2" t="inlineStr">
        <is>
          <t>Lazio</t>
        </is>
      </c>
      <c r="C302" s="2" t="inlineStr">
        <is>
          <t>C</t>
        </is>
      </c>
      <c r="D302" s="2" t="inlineStr">
        <is>
          <t>W/A</t>
        </is>
      </c>
      <c r="E302" s="2" t="n">
        <v>9</v>
      </c>
      <c r="F302" s="2" t="n">
        <v>22</v>
      </c>
      <c r="G302" s="2" t="n">
        <v>3.15</v>
      </c>
      <c r="H302" s="2" t="n">
        <v>2</v>
      </c>
      <c r="I302" s="2" t="n">
        <v>7</v>
      </c>
      <c r="J302" s="2" t="inlineStr">
        <is>
          <t>OttimoTit</t>
        </is>
      </c>
      <c r="K302" s="2" t="n">
        <v>84</v>
      </c>
      <c r="L302" s="2" t="n">
        <v>6.53</v>
      </c>
      <c r="M302" s="2" t="n">
        <v>0</v>
      </c>
      <c r="N302" s="2" t="inlineStr">
        <is>
          <t>B</t>
        </is>
      </c>
      <c r="O302" s="2" t="n">
        <v>2</v>
      </c>
      <c r="P302" s="2" t="inlineStr">
        <is>
          <t>🟡 Ballottaggio</t>
        </is>
      </c>
    </row>
    <row r="303">
      <c r="A303" s="2" t="inlineStr">
        <is>
          <t>Locatelli</t>
        </is>
      </c>
      <c r="B303" s="2" t="inlineStr">
        <is>
          <t>Juventus</t>
        </is>
      </c>
      <c r="C303" s="2" t="inlineStr">
        <is>
          <t>C</t>
        </is>
      </c>
      <c r="D303" s="2" t="inlineStr">
        <is>
          <t>M/C</t>
        </is>
      </c>
      <c r="E303" s="2" t="n">
        <v>9</v>
      </c>
      <c r="F303" s="2" t="n">
        <v>33</v>
      </c>
      <c r="G303" s="2" t="n">
        <v>7.15</v>
      </c>
      <c r="H303" s="2" t="n">
        <v>0.5</v>
      </c>
      <c r="I303" s="2" t="n">
        <v>8</v>
      </c>
      <c r="J303" s="2" t="inlineStr">
        <is>
          <t>TitLowCost</t>
        </is>
      </c>
      <c r="K303" s="2" t="n">
        <v>92</v>
      </c>
      <c r="L303" s="2" t="n">
        <v>6.37</v>
      </c>
      <c r="M303" s="2" t="n">
        <v>10</v>
      </c>
      <c r="N303" s="2" t="inlineStr">
        <is>
          <t>T</t>
        </is>
      </c>
      <c r="O303" s="2" t="n">
        <v>6</v>
      </c>
      <c r="P303" s="2" t="inlineStr">
        <is>
          <t>Normale</t>
        </is>
      </c>
    </row>
    <row r="304">
      <c r="A304" s="2" t="inlineStr">
        <is>
          <t>Pellegrini Lo.</t>
        </is>
      </c>
      <c r="B304" s="2" t="inlineStr">
        <is>
          <t>Roma</t>
        </is>
      </c>
      <c r="C304" s="2" t="inlineStr">
        <is>
          <t>C</t>
        </is>
      </c>
      <c r="D304" s="2" t="inlineStr">
        <is>
          <t>C/T</t>
        </is>
      </c>
      <c r="E304" s="2" t="n">
        <v>9</v>
      </c>
      <c r="F304" s="2" t="n">
        <v>20</v>
      </c>
      <c r="G304" s="2" t="n">
        <v>1.6</v>
      </c>
      <c r="H304" s="2" t="n">
        <v>0.5</v>
      </c>
      <c r="I304" s="2" t="n">
        <v>8</v>
      </c>
      <c r="J304" s="2" t="inlineStr">
        <is>
          <t>Jolly</t>
        </is>
      </c>
      <c r="K304" s="2" t="n">
        <v>74</v>
      </c>
      <c r="L304" s="2" t="n">
        <v>6.38</v>
      </c>
      <c r="M304" s="2" t="n">
        <v>0</v>
      </c>
      <c r="N304" s="2" t="inlineStr">
        <is>
          <t>P</t>
        </is>
      </c>
      <c r="O304" s="2" t="n">
        <v>1</v>
      </c>
      <c r="P304" s="2" t="inlineStr">
        <is>
          <t>Normale</t>
        </is>
      </c>
    </row>
    <row r="305">
      <c r="A305" s="2" t="inlineStr">
        <is>
          <t>Politano</t>
        </is>
      </c>
      <c r="B305" s="2" t="inlineStr">
        <is>
          <t>Napoli</t>
        </is>
      </c>
      <c r="C305" s="2" t="inlineStr">
        <is>
          <t>C</t>
        </is>
      </c>
      <c r="D305" s="2" t="inlineStr">
        <is>
          <t>W</t>
        </is>
      </c>
      <c r="E305" s="2" t="n">
        <v>9</v>
      </c>
      <c r="F305" s="2" t="n">
        <v>37</v>
      </c>
      <c r="G305" s="2" t="n">
        <v>5.25</v>
      </c>
      <c r="H305" s="2" t="n">
        <v>15.7</v>
      </c>
      <c r="I305" s="2" t="n">
        <v>4</v>
      </c>
      <c r="J305" s="2" t="inlineStr">
        <is>
          <t>OttimoTit</t>
        </is>
      </c>
      <c r="K305" s="2" t="n">
        <v>88</v>
      </c>
      <c r="L305" s="2" t="n">
        <v>6.66</v>
      </c>
      <c r="M305" s="2" t="n">
        <v>10</v>
      </c>
      <c r="N305" s="2" t="inlineStr">
        <is>
          <t>T</t>
        </is>
      </c>
      <c r="O305" s="2" t="n">
        <v>5</v>
      </c>
      <c r="P305" s="2" t="inlineStr">
        <is>
          <t>Normale</t>
        </is>
      </c>
    </row>
    <row r="306">
      <c r="A306" s="2" t="inlineStr">
        <is>
          <t>Sucic P.</t>
        </is>
      </c>
      <c r="B306" s="2" t="inlineStr">
        <is>
          <t>Inter</t>
        </is>
      </c>
      <c r="C306" s="2" t="inlineStr">
        <is>
          <t>C</t>
        </is>
      </c>
      <c r="D306" s="2" t="inlineStr">
        <is>
          <t>C</t>
        </is>
      </c>
      <c r="E306" s="2" t="n">
        <v>9</v>
      </c>
      <c r="F306" s="2" t="n">
        <v>21</v>
      </c>
      <c r="G306" s="2" t="n">
        <v>4.2</v>
      </c>
      <c r="H306" s="2" t="n">
        <v>0.5</v>
      </c>
      <c r="I306" s="2" t="n">
        <v>8</v>
      </c>
      <c r="J306" s="2" t="inlineStr">
        <is>
          <t>TitLowCost</t>
        </is>
      </c>
      <c r="K306" s="2" t="n">
        <v>76</v>
      </c>
      <c r="L306" s="2" t="n">
        <v>6.54</v>
      </c>
      <c r="M306" s="2" t="n">
        <v>0</v>
      </c>
      <c r="N306" s="2" t="inlineStr">
        <is>
          <t>P</t>
        </is>
      </c>
      <c r="O306" s="2" t="n">
        <v>3</v>
      </c>
      <c r="P306" s="2" t="inlineStr">
        <is>
          <t>Normale</t>
        </is>
      </c>
    </row>
    <row r="307">
      <c r="A307" s="2" t="inlineStr">
        <is>
          <t>Thuram K.</t>
        </is>
      </c>
      <c r="B307" s="2" t="inlineStr">
        <is>
          <t>Juventus</t>
        </is>
      </c>
      <c r="C307" s="2" t="inlineStr">
        <is>
          <t>C</t>
        </is>
      </c>
      <c r="D307" s="2" t="inlineStr">
        <is>
          <t>C</t>
        </is>
      </c>
      <c r="E307" s="2" t="n">
        <v>9</v>
      </c>
      <c r="F307" s="2" t="n">
        <v>25</v>
      </c>
      <c r="G307" s="2" t="n">
        <v>2.15</v>
      </c>
      <c r="H307" s="2" t="n">
        <v>0.5</v>
      </c>
      <c r="I307" s="2" t="n">
        <v>8</v>
      </c>
      <c r="J307" s="2" t="inlineStr">
        <is>
          <t>Riserva</t>
        </is>
      </c>
      <c r="K307" s="2" t="n">
        <v>48</v>
      </c>
      <c r="L307" s="2" t="n">
        <v>6.3</v>
      </c>
      <c r="M307" s="2" t="n">
        <v>0</v>
      </c>
      <c r="N307" s="2" t="inlineStr">
        <is>
          <t>P</t>
        </is>
      </c>
      <c r="O307" s="2" t="n">
        <v>1</v>
      </c>
      <c r="P307" s="2" t="inlineStr">
        <is>
          <t>🔴 Infortunato/Dubbio</t>
        </is>
      </c>
    </row>
    <row r="308">
      <c r="A308" s="2" t="inlineStr">
        <is>
          <t>Volpato</t>
        </is>
      </c>
      <c r="B308" s="2" t="inlineStr">
        <is>
          <t>Sassuolo</t>
        </is>
      </c>
      <c r="C308" s="2" t="inlineStr">
        <is>
          <t>C</t>
        </is>
      </c>
      <c r="D308" s="2" t="inlineStr">
        <is>
          <t>W/T</t>
        </is>
      </c>
      <c r="E308" s="2" t="n">
        <v>9</v>
      </c>
      <c r="F308" s="2" t="n">
        <v>25</v>
      </c>
      <c r="G308" s="2" t="n">
        <v>2.85</v>
      </c>
      <c r="H308" s="2" t="n">
        <v>0.5</v>
      </c>
      <c r="I308" s="2" t="n">
        <v>8</v>
      </c>
      <c r="J308" s="2" t="inlineStr">
        <is>
          <t>TitLowCost</t>
        </is>
      </c>
      <c r="K308" s="2" t="n">
        <v>76</v>
      </c>
      <c r="L308" s="2" t="n">
        <v>6.44</v>
      </c>
      <c r="M308" s="2" t="n">
        <v>0</v>
      </c>
      <c r="N308" s="2" t="inlineStr">
        <is>
          <t>P</t>
        </is>
      </c>
      <c r="O308" s="2" t="n">
        <v>1.5</v>
      </c>
      <c r="P308" s="2" t="inlineStr">
        <is>
          <t>Normale</t>
        </is>
      </c>
    </row>
    <row r="309">
      <c r="A309" s="2" t="inlineStr">
        <is>
          <t>Calò</t>
        </is>
      </c>
      <c r="B309" s="2" t="inlineStr">
        <is>
          <t>Frosinone</t>
        </is>
      </c>
      <c r="C309" s="2" t="inlineStr">
        <is>
          <t>C</t>
        </is>
      </c>
      <c r="D309" s="2" t="inlineStr">
        <is>
          <t>M/C</t>
        </is>
      </c>
      <c r="E309" s="2" t="n">
        <v>8</v>
      </c>
      <c r="F309" s="2" t="n">
        <v>27</v>
      </c>
      <c r="G309" s="2" t="n">
        <v>8.15</v>
      </c>
      <c r="H309" s="2" t="n">
        <v>1.5</v>
      </c>
      <c r="I309" s="2" t="n">
        <v>7</v>
      </c>
      <c r="J309" s="2" t="inlineStr">
        <is>
          <t>OttimoTit</t>
        </is>
      </c>
      <c r="K309" s="2" t="n">
        <v>88</v>
      </c>
      <c r="L309" s="2" t="n">
        <v>6.47</v>
      </c>
      <c r="M309" s="2" t="n">
        <v>70</v>
      </c>
      <c r="N309" s="2" t="inlineStr">
        <is>
          <t>T</t>
        </is>
      </c>
      <c r="O309" s="2" t="n">
        <v>9</v>
      </c>
      <c r="P309" s="2" t="inlineStr">
        <is>
          <t>🎯 Rigorista designato</t>
        </is>
      </c>
    </row>
    <row r="310">
      <c r="A310" s="2" t="inlineStr">
        <is>
          <t>Cambiaghi</t>
        </is>
      </c>
      <c r="B310" s="2" t="inlineStr">
        <is>
          <t>Bologna</t>
        </is>
      </c>
      <c r="C310" s="2" t="inlineStr">
        <is>
          <t>C</t>
        </is>
      </c>
      <c r="D310" s="2" t="inlineStr">
        <is>
          <t>W/A</t>
        </is>
      </c>
      <c r="E310" s="2" t="n">
        <v>8</v>
      </c>
      <c r="F310" s="2" t="n">
        <v>25</v>
      </c>
      <c r="G310" s="2" t="n">
        <v>3.25</v>
      </c>
      <c r="H310" s="2" t="n">
        <v>0.5</v>
      </c>
      <c r="I310" s="2" t="n">
        <v>8</v>
      </c>
      <c r="J310" s="2" t="inlineStr">
        <is>
          <t>TitLowCost</t>
        </is>
      </c>
      <c r="K310" s="2" t="n">
        <v>88</v>
      </c>
      <c r="L310" s="2" t="n">
        <v>6.4</v>
      </c>
      <c r="M310" s="2" t="n">
        <v>0</v>
      </c>
      <c r="N310" s="2" t="inlineStr">
        <is>
          <t>B</t>
        </is>
      </c>
      <c r="O310" s="2" t="n">
        <v>2</v>
      </c>
      <c r="P310" s="2" t="inlineStr">
        <is>
          <t>🟡 Ballottaggio</t>
        </is>
      </c>
    </row>
    <row r="311">
      <c r="A311" s="2" t="inlineStr">
        <is>
          <t>Chukwueze</t>
        </is>
      </c>
      <c r="B311" s="2" t="inlineStr">
        <is>
          <t>Milan</t>
        </is>
      </c>
      <c r="C311" s="2" t="inlineStr">
        <is>
          <t>C</t>
        </is>
      </c>
      <c r="D311" s="2" t="inlineStr">
        <is>
          <t>E/W</t>
        </is>
      </c>
      <c r="E311" s="2" t="n">
        <v>8</v>
      </c>
      <c r="F311" s="2" t="n">
        <v>22</v>
      </c>
      <c r="G311" s="2" t="n">
        <v>9.199999999999999</v>
      </c>
      <c r="H311" s="2" t="n">
        <v>3.7</v>
      </c>
      <c r="I311" s="2" t="n">
        <v>5</v>
      </c>
      <c r="J311" s="2" t="inlineStr">
        <is>
          <t>OttimoTit</t>
        </is>
      </c>
      <c r="K311" s="2" t="n">
        <v>84</v>
      </c>
      <c r="L311" s="2" t="n">
        <v>6.56</v>
      </c>
      <c r="M311" s="2" t="n">
        <v>0</v>
      </c>
      <c r="N311" s="2" t="inlineStr">
        <is>
          <t>B</t>
        </is>
      </c>
      <c r="O311" s="2" t="n">
        <v>8.5</v>
      </c>
      <c r="P311" s="2" t="inlineStr">
        <is>
          <t>🟡 Ballottaggio</t>
        </is>
      </c>
    </row>
    <row r="312">
      <c r="A312" s="2" t="inlineStr">
        <is>
          <t>Hutchinson</t>
        </is>
      </c>
      <c r="B312" s="2" t="inlineStr">
        <is>
          <t>Milan</t>
        </is>
      </c>
      <c r="C312" s="2" t="inlineStr">
        <is>
          <t>C</t>
        </is>
      </c>
      <c r="D312" s="2" t="inlineStr">
        <is>
          <t>W/A</t>
        </is>
      </c>
      <c r="E312" s="2" t="n">
        <v>8</v>
      </c>
      <c r="F312" s="2" t="n">
        <v>25</v>
      </c>
      <c r="G312" s="2" t="n">
        <v>2.35</v>
      </c>
      <c r="H312" s="2" t="n">
        <v>3.2</v>
      </c>
      <c r="I312" s="2" t="n">
        <v>6</v>
      </c>
      <c r="J312" s="2" t="inlineStr">
        <is>
          <t>OttimoTit</t>
        </is>
      </c>
      <c r="K312" s="2" t="n">
        <v>80</v>
      </c>
      <c r="L312" s="2" t="n">
        <v>6.6</v>
      </c>
      <c r="M312" s="2" t="n">
        <v>0</v>
      </c>
      <c r="N312" s="2" t="inlineStr">
        <is>
          <t>P</t>
        </is>
      </c>
      <c r="O312" s="2" t="n">
        <v>1</v>
      </c>
      <c r="P312" s="2" t="inlineStr">
        <is>
          <t>Normale</t>
        </is>
      </c>
    </row>
    <row r="313">
      <c r="A313" s="2" t="inlineStr">
        <is>
          <t>Konè I.</t>
        </is>
      </c>
      <c r="B313" s="2" t="inlineStr">
        <is>
          <t>Sassuolo</t>
        </is>
      </c>
      <c r="C313" s="2" t="inlineStr">
        <is>
          <t>C</t>
        </is>
      </c>
      <c r="D313" s="2" t="inlineStr">
        <is>
          <t>C</t>
        </is>
      </c>
      <c r="E313" s="2" t="n">
        <v>8</v>
      </c>
      <c r="F313" s="2" t="n">
        <v>20</v>
      </c>
      <c r="G313" s="2" t="n">
        <v>1.15</v>
      </c>
      <c r="H313" s="2" t="n">
        <v>0.5</v>
      </c>
      <c r="I313" s="2" t="n">
        <v>8</v>
      </c>
      <c r="J313" s="2" t="inlineStr">
        <is>
          <t>Riserva</t>
        </is>
      </c>
      <c r="K313" s="2" t="n">
        <v>61</v>
      </c>
      <c r="L313" s="2" t="n">
        <v>6.4</v>
      </c>
      <c r="M313" s="2" t="n">
        <v>0</v>
      </c>
      <c r="N313" s="2" t="inlineStr">
        <is>
          <t>T</t>
        </is>
      </c>
      <c r="O313" s="2" t="n">
        <v>1</v>
      </c>
      <c r="P313" s="2" t="inlineStr">
        <is>
          <t>🔴 Infortunato/Dubbio</t>
        </is>
      </c>
    </row>
    <row r="314">
      <c r="A314" s="2" t="inlineStr">
        <is>
          <t>Lobotka</t>
        </is>
      </c>
      <c r="B314" s="2" t="inlineStr">
        <is>
          <t>Napoli</t>
        </is>
      </c>
      <c r="C314" s="2" t="inlineStr">
        <is>
          <t>C</t>
        </is>
      </c>
      <c r="D314" s="2" t="inlineStr">
        <is>
          <t>M/C</t>
        </is>
      </c>
      <c r="E314" s="2" t="n">
        <v>8</v>
      </c>
      <c r="F314" s="2" t="n">
        <v>23</v>
      </c>
      <c r="G314" s="2" t="n">
        <v>6.4</v>
      </c>
      <c r="H314" s="2" t="n">
        <v>0.5</v>
      </c>
      <c r="I314" s="2" t="n">
        <v>8</v>
      </c>
      <c r="J314" s="2" t="inlineStr">
        <is>
          <t>TitLowCost</t>
        </is>
      </c>
      <c r="K314" s="2" t="n">
        <v>88</v>
      </c>
      <c r="L314" s="2" t="n">
        <v>6.36</v>
      </c>
      <c r="M314" s="2" t="n">
        <v>0</v>
      </c>
      <c r="N314" s="2" t="inlineStr">
        <is>
          <t>T</t>
        </is>
      </c>
      <c r="O314" s="2" t="n">
        <v>5.5</v>
      </c>
      <c r="P314" s="2" t="inlineStr">
        <is>
          <t>Normale</t>
        </is>
      </c>
    </row>
    <row r="315">
      <c r="A315" s="2" t="inlineStr">
        <is>
          <t>Mandragora</t>
        </is>
      </c>
      <c r="B315" s="2" t="inlineStr">
        <is>
          <t>Torino</t>
        </is>
      </c>
      <c r="C315" s="2" t="inlineStr">
        <is>
          <t>C</t>
        </is>
      </c>
      <c r="D315" s="2" t="inlineStr">
        <is>
          <t>C</t>
        </is>
      </c>
      <c r="E315" s="2" t="n">
        <v>8</v>
      </c>
      <c r="F315" s="2" t="n">
        <v>23</v>
      </c>
      <c r="G315" s="2" t="n">
        <v>3.5</v>
      </c>
      <c r="H315" s="2" t="n">
        <v>0.5</v>
      </c>
      <c r="I315" s="2" t="n">
        <v>8</v>
      </c>
      <c r="J315" s="2" t="inlineStr">
        <is>
          <t>TitLowCost</t>
        </is>
      </c>
      <c r="K315" s="2" t="n">
        <v>86</v>
      </c>
      <c r="L315" s="2" t="n">
        <v>6.42</v>
      </c>
      <c r="M315" s="2" t="n">
        <v>0</v>
      </c>
      <c r="N315" s="2" t="inlineStr">
        <is>
          <t>B</t>
        </is>
      </c>
      <c r="O315" s="2" t="n">
        <v>4</v>
      </c>
      <c r="P315" s="2" t="inlineStr">
        <is>
          <t>🟡 Ballottaggio</t>
        </is>
      </c>
    </row>
    <row r="316">
      <c r="A316" s="2" t="inlineStr">
        <is>
          <t>Mbangula</t>
        </is>
      </c>
      <c r="B316" s="2" t="inlineStr">
        <is>
          <t>Bologna</t>
        </is>
      </c>
      <c r="C316" s="2" t="inlineStr">
        <is>
          <t>C</t>
        </is>
      </c>
      <c r="D316" s="2" t="inlineStr">
        <is>
          <t>W/A</t>
        </is>
      </c>
      <c r="E316" s="2" t="n">
        <v>8</v>
      </c>
      <c r="F316" s="2" t="n">
        <v>28</v>
      </c>
      <c r="G316" s="2" t="n">
        <v>1.8</v>
      </c>
      <c r="H316" s="2" t="n">
        <v>2.4</v>
      </c>
      <c r="I316" s="2" t="n">
        <v>6</v>
      </c>
      <c r="J316" s="2" t="inlineStr">
        <is>
          <t>OttimoTit</t>
        </is>
      </c>
      <c r="K316" s="2" t="n">
        <v>84</v>
      </c>
      <c r="L316" s="2" t="n">
        <v>6.53</v>
      </c>
      <c r="M316" s="2" t="n">
        <v>0</v>
      </c>
      <c r="N316" s="2" t="inlineStr">
        <is>
          <t>B</t>
        </is>
      </c>
      <c r="O316" s="2" t="n">
        <v>1</v>
      </c>
      <c r="P316" s="2" t="inlineStr">
        <is>
          <t>🟡 Ballottaggio</t>
        </is>
      </c>
    </row>
    <row r="317">
      <c r="A317" s="2" t="inlineStr">
        <is>
          <t>Odgaard</t>
        </is>
      </c>
      <c r="B317" s="2" t="inlineStr">
        <is>
          <t>Bologna</t>
        </is>
      </c>
      <c r="C317" s="2" t="inlineStr">
        <is>
          <t>C</t>
        </is>
      </c>
      <c r="D317" s="2" t="inlineStr">
        <is>
          <t>T</t>
        </is>
      </c>
      <c r="E317" s="2" t="n">
        <v>8</v>
      </c>
      <c r="F317" s="2" t="n">
        <v>17</v>
      </c>
      <c r="G317" s="2" t="n">
        <v>1.7</v>
      </c>
      <c r="H317" s="2" t="n">
        <v>2.95</v>
      </c>
      <c r="I317" s="2" t="n">
        <v>6</v>
      </c>
      <c r="J317" s="2" t="inlineStr">
        <is>
          <t>OttimoTit</t>
        </is>
      </c>
      <c r="K317" s="2" t="n">
        <v>88</v>
      </c>
      <c r="L317" s="2" t="n">
        <v>6.5</v>
      </c>
      <c r="M317" s="2" t="n">
        <v>0</v>
      </c>
      <c r="N317" s="2" t="inlineStr">
        <is>
          <t>T</t>
        </is>
      </c>
      <c r="O317" s="2" t="n">
        <v>1</v>
      </c>
      <c r="P317" s="2" t="inlineStr">
        <is>
          <t>Normale</t>
        </is>
      </c>
    </row>
    <row r="318">
      <c r="A318" s="2" t="inlineStr">
        <is>
          <t>Pasalic</t>
        </is>
      </c>
      <c r="B318" s="2" t="inlineStr">
        <is>
          <t>Atalanta</t>
        </is>
      </c>
      <c r="C318" s="2" t="inlineStr">
        <is>
          <t>C</t>
        </is>
      </c>
      <c r="D318" s="2" t="inlineStr">
        <is>
          <t>C/T</t>
        </is>
      </c>
      <c r="E318" s="2" t="n">
        <v>8</v>
      </c>
      <c r="F318" s="2" t="n">
        <v>22</v>
      </c>
      <c r="G318" s="2" t="n">
        <v>2.4</v>
      </c>
      <c r="H318" s="2" t="n">
        <v>2.05</v>
      </c>
      <c r="I318" s="2" t="n">
        <v>6</v>
      </c>
      <c r="J318" s="2" t="inlineStr">
        <is>
          <t>OttimoTit</t>
        </is>
      </c>
      <c r="K318" s="2" t="n">
        <v>76</v>
      </c>
      <c r="L318" s="2" t="n">
        <v>6.64</v>
      </c>
      <c r="M318" s="2" t="n">
        <v>0</v>
      </c>
      <c r="N318" s="2" t="inlineStr">
        <is>
          <t>P</t>
        </is>
      </c>
      <c r="O318" s="2" t="n">
        <v>1.5</v>
      </c>
      <c r="P318" s="2" t="inlineStr">
        <is>
          <t>Normale</t>
        </is>
      </c>
    </row>
    <row r="319">
      <c r="A319" s="2" t="inlineStr">
        <is>
          <t>Schmid</t>
        </is>
      </c>
      <c r="B319" s="2" t="inlineStr">
        <is>
          <t>Frosinone</t>
        </is>
      </c>
      <c r="C319" s="2" t="inlineStr">
        <is>
          <t>C</t>
        </is>
      </c>
      <c r="D319" s="2" t="inlineStr">
        <is>
          <t>W/T</t>
        </is>
      </c>
      <c r="E319" s="2" t="n">
        <v>8</v>
      </c>
      <c r="F319" s="2" t="n">
        <v>25</v>
      </c>
      <c r="G319" s="2" t="n">
        <v>1.7</v>
      </c>
      <c r="H319" s="2" t="n">
        <v>1.75</v>
      </c>
      <c r="I319" s="2" t="n">
        <v>7</v>
      </c>
      <c r="J319" s="2" t="inlineStr">
        <is>
          <t>OttimoTit</t>
        </is>
      </c>
      <c r="K319" s="2" t="n">
        <v>92</v>
      </c>
      <c r="L319" s="2" t="n">
        <v>6.43</v>
      </c>
      <c r="M319" s="2" t="n">
        <v>20</v>
      </c>
      <c r="N319" s="2" t="inlineStr">
        <is>
          <t>T</t>
        </is>
      </c>
      <c r="O319" s="2" t="n">
        <v>1</v>
      </c>
      <c r="P319" s="2" t="inlineStr">
        <is>
          <t>Normale</t>
        </is>
      </c>
    </row>
    <row r="320">
      <c r="A320" s="2" t="inlineStr">
        <is>
          <t>Adopo</t>
        </is>
      </c>
      <c r="B320" s="2" t="inlineStr">
        <is>
          <t>Cagliari</t>
        </is>
      </c>
      <c r="C320" s="2" t="inlineStr">
        <is>
          <t>C</t>
        </is>
      </c>
      <c r="D320" s="2" t="inlineStr">
        <is>
          <t>M/C</t>
        </is>
      </c>
      <c r="E320" s="2" t="n">
        <v>7</v>
      </c>
      <c r="F320" s="2" t="n">
        <v>13</v>
      </c>
      <c r="G320" s="2" t="n">
        <v>1.5</v>
      </c>
      <c r="H320" s="2" t="n">
        <v>0.5</v>
      </c>
      <c r="I320" s="2" t="n">
        <v>8</v>
      </c>
      <c r="J320" s="2" t="inlineStr">
        <is>
          <t>TitLowCost</t>
        </is>
      </c>
      <c r="K320" s="2" t="n">
        <v>92</v>
      </c>
      <c r="L320" s="2" t="n">
        <v>6.25</v>
      </c>
      <c r="M320" s="2" t="n">
        <v>0</v>
      </c>
      <c r="N320" s="2" t="inlineStr">
        <is>
          <t>T</t>
        </is>
      </c>
      <c r="O320" s="2" t="n">
        <v>1</v>
      </c>
      <c r="P320" s="2" t="inlineStr">
        <is>
          <t>Normale</t>
        </is>
      </c>
    </row>
    <row r="321">
      <c r="A321" s="2" t="inlineStr">
        <is>
          <t>Akinsanmiro</t>
        </is>
      </c>
      <c r="B321" s="2" t="inlineStr">
        <is>
          <t>Monza</t>
        </is>
      </c>
      <c r="C321" s="2" t="inlineStr">
        <is>
          <t>C</t>
        </is>
      </c>
      <c r="D321" s="2" t="inlineStr">
        <is>
          <t>C</t>
        </is>
      </c>
      <c r="E321" s="2" t="n">
        <v>7</v>
      </c>
      <c r="F321" s="2" t="n">
        <v>11</v>
      </c>
      <c r="G321" s="2" t="n">
        <v>1.25</v>
      </c>
      <c r="H321" s="2" t="n">
        <v>0.5</v>
      </c>
      <c r="I321" s="2" t="n">
        <v>8</v>
      </c>
      <c r="J321" s="2" t="inlineStr">
        <is>
          <t>TitLowCost</t>
        </is>
      </c>
      <c r="K321" s="2" t="n">
        <v>88</v>
      </c>
      <c r="L321" s="2" t="n">
        <v>5.97</v>
      </c>
      <c r="M321" s="2" t="n">
        <v>0</v>
      </c>
      <c r="N321" s="2" t="inlineStr">
        <is>
          <t>T</t>
        </is>
      </c>
      <c r="O321" s="2" t="n">
        <v>1</v>
      </c>
      <c r="P321" s="2" t="inlineStr">
        <is>
          <t>Normale</t>
        </is>
      </c>
    </row>
    <row r="322">
      <c r="A322" s="2" t="inlineStr">
        <is>
          <t>Bernabè</t>
        </is>
      </c>
      <c r="B322" s="2" t="inlineStr">
        <is>
          <t>Parma</t>
        </is>
      </c>
      <c r="C322" s="2" t="inlineStr">
        <is>
          <t>C</t>
        </is>
      </c>
      <c r="D322" s="2" t="inlineStr">
        <is>
          <t>C</t>
        </is>
      </c>
      <c r="E322" s="2" t="n">
        <v>7</v>
      </c>
      <c r="F322" s="2" t="n">
        <v>34</v>
      </c>
      <c r="G322" s="2" t="n">
        <v>3.55</v>
      </c>
      <c r="H322" s="2" t="n">
        <v>0.5</v>
      </c>
      <c r="I322" s="2" t="n">
        <v>8</v>
      </c>
      <c r="J322" s="2" t="inlineStr">
        <is>
          <t>TitLowCost</t>
        </is>
      </c>
      <c r="K322" s="2" t="n">
        <v>90</v>
      </c>
      <c r="L322" s="2" t="n">
        <v>6.42</v>
      </c>
      <c r="M322" s="2" t="n">
        <v>10</v>
      </c>
      <c r="N322" s="2" t="inlineStr">
        <is>
          <t>T</t>
        </is>
      </c>
      <c r="O322" s="2" t="n">
        <v>3</v>
      </c>
      <c r="P322" s="2" t="inlineStr">
        <is>
          <t>Normale</t>
        </is>
      </c>
    </row>
    <row r="323">
      <c r="A323" s="2" t="inlineStr">
        <is>
          <t>Coulibaly L.</t>
        </is>
      </c>
      <c r="B323" s="2" t="inlineStr">
        <is>
          <t>Lecce</t>
        </is>
      </c>
      <c r="C323" s="2" t="inlineStr">
        <is>
          <t>C</t>
        </is>
      </c>
      <c r="D323" s="2" t="inlineStr">
        <is>
          <t>M/C</t>
        </is>
      </c>
      <c r="E323" s="2" t="n">
        <v>7</v>
      </c>
      <c r="F323" s="2" t="n">
        <v>17</v>
      </c>
      <c r="G323" s="2" t="n">
        <v>1.65</v>
      </c>
      <c r="H323" s="2" t="n">
        <v>0.5</v>
      </c>
      <c r="I323" s="2" t="n">
        <v>8</v>
      </c>
      <c r="J323" s="2" t="inlineStr">
        <is>
          <t>TitLowCost</t>
        </is>
      </c>
      <c r="K323" s="2" t="n">
        <v>92</v>
      </c>
      <c r="L323" s="2" t="n">
        <v>6.19</v>
      </c>
      <c r="M323" s="2" t="n">
        <v>0</v>
      </c>
      <c r="N323" s="2" t="inlineStr">
        <is>
          <t>T</t>
        </is>
      </c>
      <c r="O323" s="2" t="n">
        <v>1</v>
      </c>
      <c r="P323" s="2" t="inlineStr">
        <is>
          <t>Normale</t>
        </is>
      </c>
    </row>
    <row r="324">
      <c r="A324" s="2" t="inlineStr">
        <is>
          <t>El Shaarawy</t>
        </is>
      </c>
      <c r="B324" s="2" t="inlineStr">
        <is>
          <t>Genoa</t>
        </is>
      </c>
      <c r="C324" s="2" t="inlineStr">
        <is>
          <t>C</t>
        </is>
      </c>
      <c r="D324" s="2" t="inlineStr">
        <is>
          <t>W</t>
        </is>
      </c>
      <c r="E324" s="2" t="n">
        <v>7</v>
      </c>
      <c r="F324" s="2" t="n">
        <v>25</v>
      </c>
      <c r="G324" s="2" t="n">
        <v>1.75</v>
      </c>
      <c r="H324" s="2" t="n">
        <v>0.5</v>
      </c>
      <c r="I324" s="2" t="n">
        <v>8</v>
      </c>
      <c r="J324" s="2" t="inlineStr">
        <is>
          <t>TitLowCost</t>
        </is>
      </c>
      <c r="K324" s="2" t="n">
        <v>78</v>
      </c>
      <c r="L324" s="2" t="n">
        <v>6.53</v>
      </c>
      <c r="M324" s="2" t="n">
        <v>0</v>
      </c>
      <c r="N324" s="2" t="inlineStr">
        <is>
          <t>P</t>
        </is>
      </c>
      <c r="O324" s="2" t="n">
        <v>1</v>
      </c>
      <c r="P324" s="2" t="inlineStr">
        <is>
          <t>Normale</t>
        </is>
      </c>
    </row>
    <row r="325">
      <c r="A325" s="2" t="inlineStr">
        <is>
          <t>Elmas</t>
        </is>
      </c>
      <c r="B325" s="2" t="inlineStr">
        <is>
          <t>Atalanta</t>
        </is>
      </c>
      <c r="C325" s="2" t="inlineStr">
        <is>
          <t>C</t>
        </is>
      </c>
      <c r="D325" s="2" t="inlineStr">
        <is>
          <t>W/T</t>
        </is>
      </c>
      <c r="E325" s="2" t="n">
        <v>7</v>
      </c>
      <c r="F325" s="2" t="n">
        <v>22</v>
      </c>
      <c r="G325" s="2" t="n">
        <v>1.65</v>
      </c>
      <c r="H325" s="2" t="n">
        <v>0.5</v>
      </c>
      <c r="I325" s="2" t="n">
        <v>8</v>
      </c>
      <c r="J325" s="2" t="inlineStr">
        <is>
          <t>Jolly</t>
        </is>
      </c>
      <c r="K325" s="2" t="n">
        <v>72</v>
      </c>
      <c r="L325" s="2" t="n">
        <v>6.31</v>
      </c>
      <c r="M325" s="2" t="n">
        <v>0</v>
      </c>
      <c r="N325" s="2" t="inlineStr">
        <is>
          <t>P</t>
        </is>
      </c>
      <c r="O325" s="2" t="n">
        <v>1</v>
      </c>
      <c r="P325" s="2" t="inlineStr">
        <is>
          <t>Normale</t>
        </is>
      </c>
    </row>
    <row r="326">
      <c r="A326" s="2" t="inlineStr">
        <is>
          <t>Fagioli</t>
        </is>
      </c>
      <c r="B326" s="2" t="inlineStr">
        <is>
          <t>Fiorentina</t>
        </is>
      </c>
      <c r="C326" s="2" t="inlineStr">
        <is>
          <t>C</t>
        </is>
      </c>
      <c r="D326" s="2" t="inlineStr">
        <is>
          <t>M/C</t>
        </is>
      </c>
      <c r="E326" s="2" t="n">
        <v>7</v>
      </c>
      <c r="F326" s="2" t="n">
        <v>20</v>
      </c>
      <c r="G326" s="2" t="n">
        <v>2.05</v>
      </c>
      <c r="H326" s="2" t="n">
        <v>0.5</v>
      </c>
      <c r="I326" s="2" t="n">
        <v>8</v>
      </c>
      <c r="J326" s="2" t="inlineStr">
        <is>
          <t>TitLowCost</t>
        </is>
      </c>
      <c r="K326" s="2" t="n">
        <v>88</v>
      </c>
      <c r="L326" s="2" t="n">
        <v>6.36</v>
      </c>
      <c r="M326" s="2" t="n">
        <v>0</v>
      </c>
      <c r="N326" s="2" t="inlineStr">
        <is>
          <t>B</t>
        </is>
      </c>
      <c r="O326" s="2" t="n">
        <v>1</v>
      </c>
      <c r="P326" s="2" t="inlineStr">
        <is>
          <t>🟡 Ballottaggio</t>
        </is>
      </c>
    </row>
    <row r="327">
      <c r="A327" s="2" t="inlineStr">
        <is>
          <t>Ferguson</t>
        </is>
      </c>
      <c r="B327" s="2" t="inlineStr">
        <is>
          <t>Bologna</t>
        </is>
      </c>
      <c r="C327" s="2" t="inlineStr">
        <is>
          <t>C</t>
        </is>
      </c>
      <c r="D327" s="2" t="inlineStr">
        <is>
          <t>M/C</t>
        </is>
      </c>
      <c r="E327" s="2" t="n">
        <v>7</v>
      </c>
      <c r="F327" s="2" t="n">
        <v>23</v>
      </c>
      <c r="G327" s="2" t="n">
        <v>4.25</v>
      </c>
      <c r="H327" s="2" t="n">
        <v>0.5</v>
      </c>
      <c r="I327" s="2" t="n">
        <v>8</v>
      </c>
      <c r="J327" s="2" t="inlineStr">
        <is>
          <t>TitLowCost</t>
        </is>
      </c>
      <c r="K327" s="2" t="n">
        <v>88</v>
      </c>
      <c r="L327" s="2" t="n">
        <v>6.33</v>
      </c>
      <c r="M327" s="2" t="n">
        <v>0</v>
      </c>
      <c r="N327" s="2" t="inlineStr">
        <is>
          <t>T</t>
        </is>
      </c>
      <c r="O327" s="2" t="n">
        <v>3</v>
      </c>
      <c r="P327" s="2" t="inlineStr">
        <is>
          <t>Normale</t>
        </is>
      </c>
    </row>
    <row r="328">
      <c r="A328" s="2" t="inlineStr">
        <is>
          <t>Frendrup</t>
        </is>
      </c>
      <c r="B328" s="2" t="inlineStr">
        <is>
          <t>Genoa</t>
        </is>
      </c>
      <c r="C328" s="2" t="inlineStr">
        <is>
          <t>C</t>
        </is>
      </c>
      <c r="D328" s="2" t="inlineStr">
        <is>
          <t>M/C</t>
        </is>
      </c>
      <c r="E328" s="2" t="n">
        <v>7</v>
      </c>
      <c r="F328" s="2" t="n">
        <v>19</v>
      </c>
      <c r="G328" s="2" t="n">
        <v>2.75</v>
      </c>
      <c r="H328" s="2" t="n">
        <v>0.5</v>
      </c>
      <c r="I328" s="2" t="n">
        <v>8</v>
      </c>
      <c r="J328" s="2" t="inlineStr">
        <is>
          <t>TitLowCost</t>
        </is>
      </c>
      <c r="K328" s="2" t="n">
        <v>78</v>
      </c>
      <c r="L328" s="2" t="n">
        <v>6.23</v>
      </c>
      <c r="M328" s="2" t="n">
        <v>0</v>
      </c>
      <c r="N328" s="2" t="inlineStr">
        <is>
          <t>B</t>
        </is>
      </c>
      <c r="O328" s="2" t="n">
        <v>2</v>
      </c>
      <c r="P328" s="2" t="inlineStr">
        <is>
          <t>🟡 Ballottaggio</t>
        </is>
      </c>
    </row>
    <row r="329">
      <c r="A329" s="2" t="inlineStr">
        <is>
          <t>Gaetano</t>
        </is>
      </c>
      <c r="B329" s="2" t="inlineStr">
        <is>
          <t>Atalanta</t>
        </is>
      </c>
      <c r="C329" s="2" t="inlineStr">
        <is>
          <t>C</t>
        </is>
      </c>
      <c r="D329" s="2" t="inlineStr">
        <is>
          <t>M/C</t>
        </is>
      </c>
      <c r="E329" s="2" t="n">
        <v>7</v>
      </c>
      <c r="F329" s="2" t="n">
        <v>30</v>
      </c>
      <c r="G329" s="2" t="n">
        <v>10.1</v>
      </c>
      <c r="H329" s="2" t="n">
        <v>3.25</v>
      </c>
      <c r="I329" s="2" t="n">
        <v>6</v>
      </c>
      <c r="J329" s="2" t="inlineStr">
        <is>
          <t>OttimoTit</t>
        </is>
      </c>
      <c r="K329" s="2" t="n">
        <v>86</v>
      </c>
      <c r="L329" s="2" t="n">
        <v>6.53</v>
      </c>
      <c r="M329" s="2" t="n">
        <v>0</v>
      </c>
      <c r="N329" s="2" t="inlineStr">
        <is>
          <t>T</t>
        </is>
      </c>
      <c r="O329" s="2" t="n">
        <v>8</v>
      </c>
      <c r="P329" s="2" t="inlineStr">
        <is>
          <t>Normale</t>
        </is>
      </c>
    </row>
    <row r="330">
      <c r="A330" s="2" t="inlineStr">
        <is>
          <t>Karlstrom</t>
        </is>
      </c>
      <c r="B330" s="2" t="inlineStr">
        <is>
          <t>Udinese</t>
        </is>
      </c>
      <c r="C330" s="2" t="inlineStr">
        <is>
          <t>C</t>
        </is>
      </c>
      <c r="D330" s="2" t="inlineStr">
        <is>
          <t>M/C</t>
        </is>
      </c>
      <c r="E330" s="2" t="n">
        <v>7</v>
      </c>
      <c r="F330" s="2" t="n">
        <v>20</v>
      </c>
      <c r="G330" s="2" t="n">
        <v>2.1</v>
      </c>
      <c r="H330" s="2" t="n">
        <v>0.5</v>
      </c>
      <c r="I330" s="2" t="n">
        <v>8</v>
      </c>
      <c r="J330" s="2" t="inlineStr">
        <is>
          <t>TitLowCost</t>
        </is>
      </c>
      <c r="K330" s="2" t="n">
        <v>92</v>
      </c>
      <c r="L330" s="2" t="n">
        <v>6.16</v>
      </c>
      <c r="M330" s="2" t="n">
        <v>0</v>
      </c>
      <c r="N330" s="2" t="inlineStr">
        <is>
          <t>T</t>
        </is>
      </c>
      <c r="O330" s="2" t="n">
        <v>1</v>
      </c>
      <c r="P330" s="2" t="inlineStr">
        <is>
          <t>Normale</t>
        </is>
      </c>
    </row>
    <row r="331">
      <c r="A331" s="2" t="inlineStr">
        <is>
          <t>Koopmeiners</t>
        </is>
      </c>
      <c r="B331" s="2" t="inlineStr">
        <is>
          <t>Juventus</t>
        </is>
      </c>
      <c r="C331" s="2" t="inlineStr">
        <is>
          <t>C</t>
        </is>
      </c>
      <c r="D331" s="2" t="inlineStr">
        <is>
          <t>C/T</t>
        </is>
      </c>
      <c r="E331" s="2" t="n">
        <v>7</v>
      </c>
      <c r="F331" s="2" t="n">
        <v>15</v>
      </c>
      <c r="G331" s="2" t="n">
        <v>1.95</v>
      </c>
      <c r="H331" s="2" t="n">
        <v>0.5</v>
      </c>
      <c r="I331" s="2" t="n">
        <v>8</v>
      </c>
      <c r="J331" s="2" t="inlineStr">
        <is>
          <t>TitLowCost</t>
        </is>
      </c>
      <c r="K331" s="2" t="n">
        <v>76</v>
      </c>
      <c r="L331" s="2" t="n">
        <v>6.47</v>
      </c>
      <c r="M331" s="2" t="n">
        <v>0</v>
      </c>
      <c r="N331" s="2" t="inlineStr">
        <is>
          <t>P</t>
        </is>
      </c>
      <c r="O331" s="2" t="n">
        <v>1</v>
      </c>
      <c r="P331" s="2" t="inlineStr">
        <is>
          <t>Normale</t>
        </is>
      </c>
    </row>
    <row r="332">
      <c r="A332" s="2" t="inlineStr">
        <is>
          <t>Monteiro J.</t>
        </is>
      </c>
      <c r="B332" s="2" t="inlineStr">
        <is>
          <t>Lecce</t>
        </is>
      </c>
      <c r="C332" s="2" t="inlineStr">
        <is>
          <t>C</t>
        </is>
      </c>
      <c r="D332" s="2" t="inlineStr">
        <is>
          <t>W/A</t>
        </is>
      </c>
      <c r="E332" s="2" t="n">
        <v>7</v>
      </c>
      <c r="F332" s="2" t="n">
        <v>23</v>
      </c>
      <c r="G332" s="2" t="n">
        <v>1.15</v>
      </c>
      <c r="H332" s="2" t="n">
        <v>0.5</v>
      </c>
      <c r="I332" s="2" t="n">
        <v>7</v>
      </c>
      <c r="J332" s="2" t="inlineStr">
        <is>
          <t>TitLowCost</t>
        </is>
      </c>
      <c r="K332" s="2" t="n">
        <v>88</v>
      </c>
      <c r="L332" s="2" t="n">
        <v>6.45</v>
      </c>
      <c r="M332" s="2" t="n">
        <v>0</v>
      </c>
      <c r="N332" s="2" t="inlineStr">
        <is>
          <t>B</t>
        </is>
      </c>
      <c r="O332" s="2" t="n">
        <v>1</v>
      </c>
      <c r="P332" s="2" t="inlineStr">
        <is>
          <t>🟡 Ballottaggio</t>
        </is>
      </c>
    </row>
    <row r="333">
      <c r="A333" s="2" t="inlineStr">
        <is>
          <t>Ndour</t>
        </is>
      </c>
      <c r="B333" s="2" t="inlineStr">
        <is>
          <t>Fiorentina</t>
        </is>
      </c>
      <c r="C333" s="2" t="inlineStr">
        <is>
          <t>C</t>
        </is>
      </c>
      <c r="D333" s="2" t="inlineStr">
        <is>
          <t>C</t>
        </is>
      </c>
      <c r="E333" s="2" t="n">
        <v>7</v>
      </c>
      <c r="F333" s="2" t="n">
        <v>22</v>
      </c>
      <c r="G333" s="2" t="n">
        <v>2.05</v>
      </c>
      <c r="H333" s="2" t="n">
        <v>1.15</v>
      </c>
      <c r="I333" s="2" t="n">
        <v>7</v>
      </c>
      <c r="J333" s="2" t="inlineStr">
        <is>
          <t>OttimoTit</t>
        </is>
      </c>
      <c r="K333" s="2" t="n">
        <v>88</v>
      </c>
      <c r="L333" s="2" t="n">
        <v>6.46</v>
      </c>
      <c r="M333" s="2" t="n">
        <v>0</v>
      </c>
      <c r="N333" s="2" t="inlineStr">
        <is>
          <t>T</t>
        </is>
      </c>
      <c r="O333" s="2" t="n">
        <v>1</v>
      </c>
      <c r="P333" s="2" t="inlineStr">
        <is>
          <t>Normale</t>
        </is>
      </c>
    </row>
    <row r="334">
      <c r="A334" s="2" t="inlineStr">
        <is>
          <t>Pisilli</t>
        </is>
      </c>
      <c r="B334" s="2" t="inlineStr">
        <is>
          <t>Roma</t>
        </is>
      </c>
      <c r="C334" s="2" t="inlineStr">
        <is>
          <t>C</t>
        </is>
      </c>
      <c r="D334" s="2" t="inlineStr">
        <is>
          <t>C</t>
        </is>
      </c>
      <c r="E334" s="2" t="n">
        <v>7</v>
      </c>
      <c r="F334" s="2" t="n">
        <v>19</v>
      </c>
      <c r="G334" s="2" t="n">
        <v>2.7</v>
      </c>
      <c r="H334" s="2" t="n">
        <v>0.5</v>
      </c>
      <c r="I334" s="2" t="n">
        <v>7</v>
      </c>
      <c r="J334" s="2" t="inlineStr">
        <is>
          <t>TitLowCost</t>
        </is>
      </c>
      <c r="K334" s="2" t="n">
        <v>80</v>
      </c>
      <c r="L334" s="2" t="n">
        <v>6.55</v>
      </c>
      <c r="M334" s="2" t="n">
        <v>0</v>
      </c>
      <c r="N334" s="2" t="inlineStr">
        <is>
          <t>P</t>
        </is>
      </c>
      <c r="O334" s="2" t="n">
        <v>2</v>
      </c>
      <c r="P334" s="2" t="inlineStr">
        <is>
          <t>Normale</t>
        </is>
      </c>
    </row>
    <row r="335">
      <c r="A335" s="2" t="inlineStr">
        <is>
          <t>Romano</t>
        </is>
      </c>
      <c r="B335" s="2" t="inlineStr">
        <is>
          <t>Cagliari</t>
        </is>
      </c>
      <c r="C335" s="2" t="inlineStr">
        <is>
          <t>C</t>
        </is>
      </c>
      <c r="D335" s="2" t="inlineStr">
        <is>
          <t>M/C</t>
        </is>
      </c>
      <c r="E335" s="2" t="n">
        <v>7</v>
      </c>
      <c r="F335" s="2" t="n">
        <v>21</v>
      </c>
      <c r="G335" s="2" t="n">
        <v>3.3</v>
      </c>
      <c r="H335" s="2" t="n">
        <v>0.5</v>
      </c>
      <c r="I335" s="2" t="n">
        <v>8</v>
      </c>
      <c r="J335" s="2" t="inlineStr">
        <is>
          <t>TitLowCost</t>
        </is>
      </c>
      <c r="K335" s="2" t="n">
        <v>92</v>
      </c>
      <c r="L335" s="2" t="n">
        <v>6.21</v>
      </c>
      <c r="M335" s="2" t="n">
        <v>0</v>
      </c>
      <c r="N335" s="2" t="inlineStr">
        <is>
          <t>T</t>
        </is>
      </c>
      <c r="O335" s="2" t="n">
        <v>3</v>
      </c>
      <c r="P335" s="2" t="inlineStr">
        <is>
          <t>Normale</t>
        </is>
      </c>
    </row>
    <row r="336">
      <c r="A336" s="2" t="inlineStr">
        <is>
          <t>Rovella</t>
        </is>
      </c>
      <c r="B336" s="2" t="inlineStr">
        <is>
          <t>Lazio</t>
        </is>
      </c>
      <c r="C336" s="2" t="inlineStr">
        <is>
          <t>C</t>
        </is>
      </c>
      <c r="D336" s="2" t="inlineStr">
        <is>
          <t>M/C</t>
        </is>
      </c>
      <c r="E336" s="2" t="n">
        <v>7</v>
      </c>
      <c r="F336" s="2" t="n">
        <v>16</v>
      </c>
      <c r="G336" s="2" t="n">
        <v>1.7</v>
      </c>
      <c r="H336" s="2" t="n">
        <v>0.5</v>
      </c>
      <c r="I336" s="2" t="n">
        <v>8</v>
      </c>
      <c r="J336" s="2" t="inlineStr">
        <is>
          <t>TitLowCost</t>
        </is>
      </c>
      <c r="K336" s="2" t="n">
        <v>83</v>
      </c>
      <c r="L336" s="2" t="n">
        <v>6.26</v>
      </c>
      <c r="M336" s="2" t="n">
        <v>0</v>
      </c>
      <c r="N336" s="2" t="inlineStr">
        <is>
          <t>T</t>
        </is>
      </c>
      <c r="O336" s="2" t="n">
        <v>1</v>
      </c>
      <c r="P336" s="2" t="inlineStr">
        <is>
          <t>🔴 Infortunato/Dubbio</t>
        </is>
      </c>
    </row>
    <row r="337">
      <c r="A337" s="2" t="inlineStr">
        <is>
          <t>Sarr P.</t>
        </is>
      </c>
      <c r="B337" s="2" t="inlineStr">
        <is>
          <t>Juventus</t>
        </is>
      </c>
      <c r="C337" s="2" t="inlineStr">
        <is>
          <t>C</t>
        </is>
      </c>
      <c r="D337" s="2" t="inlineStr">
        <is>
          <t>M/C</t>
        </is>
      </c>
      <c r="E337" s="2" t="n">
        <v>7</v>
      </c>
      <c r="F337" s="2" t="n">
        <v>25</v>
      </c>
      <c r="G337" s="2" t="n">
        <v>4.95</v>
      </c>
      <c r="H337" s="2" t="n">
        <v>1.05</v>
      </c>
      <c r="I337" s="2" t="n">
        <v>7</v>
      </c>
      <c r="J337" s="2" t="inlineStr">
        <is>
          <t>TitLowCost</t>
        </is>
      </c>
      <c r="K337" s="2" t="n">
        <v>88</v>
      </c>
      <c r="L337" s="2" t="n">
        <v>6.46</v>
      </c>
      <c r="M337" s="2" t="n">
        <v>0</v>
      </c>
      <c r="N337" s="2" t="inlineStr">
        <is>
          <t>T</t>
        </is>
      </c>
      <c r="O337" s="2" t="n">
        <v>3</v>
      </c>
      <c r="P337" s="2" t="inlineStr">
        <is>
          <t>Normale</t>
        </is>
      </c>
    </row>
    <row r="338">
      <c r="A338" s="2" t="inlineStr">
        <is>
          <t>Sow</t>
        </is>
      </c>
      <c r="B338" s="2" t="inlineStr">
        <is>
          <t>Genoa</t>
        </is>
      </c>
      <c r="C338" s="2" t="inlineStr">
        <is>
          <t>C</t>
        </is>
      </c>
      <c r="D338" s="2" t="inlineStr">
        <is>
          <t>M/C</t>
        </is>
      </c>
      <c r="E338" s="2" t="n">
        <v>7</v>
      </c>
      <c r="F338" s="2" t="n">
        <v>15</v>
      </c>
      <c r="G338" s="2" t="n">
        <v>1.5</v>
      </c>
      <c r="H338" s="2" t="n">
        <v>0.5</v>
      </c>
      <c r="I338" s="2" t="n">
        <v>8</v>
      </c>
      <c r="J338" s="2" t="inlineStr">
        <is>
          <t>TitLowCost</t>
        </is>
      </c>
      <c r="K338" s="2" t="n">
        <v>90</v>
      </c>
      <c r="L338" s="2" t="n">
        <v>6.23</v>
      </c>
      <c r="M338" s="2" t="n">
        <v>0</v>
      </c>
      <c r="N338" s="2" t="inlineStr">
        <is>
          <t>T</t>
        </is>
      </c>
      <c r="O338" s="2" t="n">
        <v>1</v>
      </c>
      <c r="P338" s="2" t="inlineStr">
        <is>
          <t>Normale</t>
        </is>
      </c>
    </row>
    <row r="339">
      <c r="A339" s="2" t="inlineStr">
        <is>
          <t>Unai Gomez</t>
        </is>
      </c>
      <c r="B339" s="2" t="inlineStr">
        <is>
          <t>Udinese</t>
        </is>
      </c>
      <c r="C339" s="2" t="inlineStr">
        <is>
          <t>C</t>
        </is>
      </c>
      <c r="D339" s="2" t="inlineStr">
        <is>
          <t>T</t>
        </is>
      </c>
      <c r="E339" s="2" t="n">
        <v>7</v>
      </c>
      <c r="F339" s="2" t="n">
        <v>16</v>
      </c>
      <c r="G339" s="2" t="n">
        <v>1.2</v>
      </c>
      <c r="H339" s="2" t="n">
        <v>0.5</v>
      </c>
      <c r="I339" s="2" t="n">
        <v>8</v>
      </c>
      <c r="J339" s="2" t="inlineStr">
        <is>
          <t>Jolly</t>
        </is>
      </c>
      <c r="K339" s="2" t="n">
        <v>70</v>
      </c>
      <c r="L339" s="2" t="n">
        <v>6.23</v>
      </c>
      <c r="M339" s="2" t="n">
        <v>0</v>
      </c>
      <c r="N339" s="2" t="inlineStr">
        <is>
          <t>P</t>
        </is>
      </c>
      <c r="O339" s="2" t="n">
        <v>1</v>
      </c>
      <c r="P339" s="2" t="inlineStr">
        <is>
          <t>Normale</t>
        </is>
      </c>
    </row>
    <row r="340">
      <c r="A340" s="2" t="inlineStr">
        <is>
          <t>Zalewski</t>
        </is>
      </c>
      <c r="B340" s="2" t="inlineStr">
        <is>
          <t>Atalanta</t>
        </is>
      </c>
      <c r="C340" s="2" t="inlineStr">
        <is>
          <t>C</t>
        </is>
      </c>
      <c r="D340" s="2" t="inlineStr">
        <is>
          <t>W</t>
        </is>
      </c>
      <c r="E340" s="2" t="n">
        <v>7</v>
      </c>
      <c r="F340" s="2" t="n">
        <v>18</v>
      </c>
      <c r="G340" s="2" t="n">
        <v>1.8</v>
      </c>
      <c r="H340" s="2" t="n">
        <v>0.5</v>
      </c>
      <c r="I340" s="2" t="n">
        <v>8</v>
      </c>
      <c r="J340" s="2" t="inlineStr">
        <is>
          <t>TitLowCost</t>
        </is>
      </c>
      <c r="K340" s="2" t="n">
        <v>76</v>
      </c>
      <c r="L340" s="2" t="n">
        <v>6.5</v>
      </c>
      <c r="M340" s="2" t="n">
        <v>0</v>
      </c>
      <c r="N340" s="2" t="inlineStr">
        <is>
          <t>P</t>
        </is>
      </c>
      <c r="O340" s="2" t="n">
        <v>1</v>
      </c>
      <c r="P340" s="2" t="inlineStr">
        <is>
          <t>Normale</t>
        </is>
      </c>
    </row>
    <row r="341">
      <c r="A341" s="2" t="inlineStr">
        <is>
          <t>Adzic</t>
        </is>
      </c>
      <c r="B341" s="2" t="inlineStr">
        <is>
          <t>Sassuolo</t>
        </is>
      </c>
      <c r="C341" s="2" t="inlineStr">
        <is>
          <t>C</t>
        </is>
      </c>
      <c r="D341" s="2" t="inlineStr">
        <is>
          <t>C/T</t>
        </is>
      </c>
      <c r="E341" s="2" t="n">
        <v>6</v>
      </c>
      <c r="F341" s="2" t="n">
        <v>16</v>
      </c>
      <c r="G341" s="2" t="n">
        <v>3.5</v>
      </c>
      <c r="H341" s="2" t="n">
        <v>0.5</v>
      </c>
      <c r="I341" s="2" t="n">
        <v>8</v>
      </c>
      <c r="J341" s="2" t="inlineStr">
        <is>
          <t>TitLowCost</t>
        </is>
      </c>
      <c r="K341" s="2" t="n">
        <v>77</v>
      </c>
      <c r="L341" s="2" t="n">
        <v>6.54</v>
      </c>
      <c r="M341" s="2" t="n">
        <v>0</v>
      </c>
      <c r="N341" s="2" t="inlineStr">
        <is>
          <t>T</t>
        </is>
      </c>
      <c r="O341" s="2" t="n">
        <v>3</v>
      </c>
      <c r="P341" s="2" t="inlineStr">
        <is>
          <t>Normale</t>
        </is>
      </c>
    </row>
    <row r="342">
      <c r="A342" s="2" t="inlineStr">
        <is>
          <t>Bakola</t>
        </is>
      </c>
      <c r="B342" s="2" t="inlineStr">
        <is>
          <t>Sassuolo</t>
        </is>
      </c>
      <c r="C342" s="2" t="inlineStr">
        <is>
          <t>C</t>
        </is>
      </c>
      <c r="D342" s="2" t="inlineStr">
        <is>
          <t>C/T</t>
        </is>
      </c>
      <c r="E342" s="2" t="n">
        <v>6</v>
      </c>
      <c r="F342" s="2" t="n">
        <v>14</v>
      </c>
      <c r="G342" s="2" t="n">
        <v>1.8</v>
      </c>
      <c r="H342" s="2" t="n">
        <v>0.5</v>
      </c>
      <c r="I342" s="2" t="n">
        <v>8</v>
      </c>
      <c r="J342" s="2" t="inlineStr">
        <is>
          <t>TitLowCost</t>
        </is>
      </c>
      <c r="K342" s="2" t="n">
        <v>83</v>
      </c>
      <c r="L342" s="2" t="n">
        <v>6.26</v>
      </c>
      <c r="M342" s="2" t="n">
        <v>0</v>
      </c>
      <c r="N342" s="2" t="inlineStr">
        <is>
          <t>P</t>
        </is>
      </c>
      <c r="O342" s="2" t="n">
        <v>1</v>
      </c>
      <c r="P342" s="2" t="inlineStr">
        <is>
          <t>Normale</t>
        </is>
      </c>
    </row>
    <row r="343">
      <c r="A343" s="2" t="inlineStr">
        <is>
          <t>Basic</t>
        </is>
      </c>
      <c r="B343" s="2" t="inlineStr">
        <is>
          <t>Venezia</t>
        </is>
      </c>
      <c r="C343" s="2" t="inlineStr">
        <is>
          <t>C</t>
        </is>
      </c>
      <c r="D343" s="2" t="inlineStr">
        <is>
          <t>M/C</t>
        </is>
      </c>
      <c r="E343" s="2" t="n">
        <v>6</v>
      </c>
      <c r="F343" s="2" t="n">
        <v>19</v>
      </c>
      <c r="G343" s="2" t="n">
        <v>1.55</v>
      </c>
      <c r="H343" s="2" t="n">
        <v>0.5</v>
      </c>
      <c r="I343" s="2" t="n">
        <v>8</v>
      </c>
      <c r="J343" s="2" t="inlineStr">
        <is>
          <t>TitLowCost</t>
        </is>
      </c>
      <c r="K343" s="2" t="n">
        <v>88</v>
      </c>
      <c r="L343" s="2" t="n">
        <v>6.08</v>
      </c>
      <c r="M343" s="2" t="n">
        <v>0</v>
      </c>
      <c r="N343" s="2" t="inlineStr">
        <is>
          <t>B</t>
        </is>
      </c>
      <c r="O343" s="2" t="n">
        <v>1</v>
      </c>
      <c r="P343" s="2" t="inlineStr">
        <is>
          <t>🟡 Ballottaggio</t>
        </is>
      </c>
    </row>
    <row r="344">
      <c r="A344" s="2" t="inlineStr">
        <is>
          <t>Braganca</t>
        </is>
      </c>
      <c r="B344" s="2" t="inlineStr">
        <is>
          <t>Torino</t>
        </is>
      </c>
      <c r="C344" s="2" t="inlineStr">
        <is>
          <t>C</t>
        </is>
      </c>
      <c r="D344" s="2" t="inlineStr">
        <is>
          <t>C</t>
        </is>
      </c>
      <c r="E344" s="2" t="n">
        <v>6</v>
      </c>
      <c r="F344" s="2" t="n">
        <v>20</v>
      </c>
      <c r="G344" s="2" t="n">
        <v>1.05</v>
      </c>
      <c r="H344" s="2" t="n">
        <v>0.5</v>
      </c>
      <c r="I344" s="2" t="n">
        <v>8</v>
      </c>
      <c r="J344" s="2" t="inlineStr">
        <is>
          <t>TitLowCost</t>
        </is>
      </c>
      <c r="K344" s="2" t="n">
        <v>84</v>
      </c>
      <c r="L344" s="2" t="n">
        <v>6.45</v>
      </c>
      <c r="M344" s="2" t="n">
        <v>0</v>
      </c>
      <c r="N344" s="2" t="inlineStr">
        <is>
          <t>B</t>
        </is>
      </c>
      <c r="O344" s="2" t="n">
        <v>1</v>
      </c>
      <c r="P344" s="2" t="inlineStr">
        <is>
          <t>🟡 Ballottaggio</t>
        </is>
      </c>
    </row>
    <row r="345">
      <c r="A345" s="2" t="inlineStr">
        <is>
          <t>Cacciamani</t>
        </is>
      </c>
      <c r="B345" s="2" t="inlineStr">
        <is>
          <t>Torino</t>
        </is>
      </c>
      <c r="C345" s="2" t="inlineStr">
        <is>
          <t>C</t>
        </is>
      </c>
      <c r="D345" s="2" t="inlineStr">
        <is>
          <t>E/W</t>
        </is>
      </c>
      <c r="E345" s="2" t="n">
        <v>6</v>
      </c>
      <c r="F345" s="2" t="n">
        <v>24</v>
      </c>
      <c r="G345" s="2" t="n">
        <v>5.95</v>
      </c>
      <c r="H345" s="2" t="n">
        <v>0.5</v>
      </c>
      <c r="I345" s="2" t="n">
        <v>8</v>
      </c>
      <c r="J345" s="2" t="inlineStr">
        <is>
          <t>TitLowCost</t>
        </is>
      </c>
      <c r="K345" s="2" t="n">
        <v>90</v>
      </c>
      <c r="L345" s="2" t="n">
        <v>6.4</v>
      </c>
      <c r="M345" s="2" t="n">
        <v>0</v>
      </c>
      <c r="N345" s="2" t="inlineStr">
        <is>
          <t>T</t>
        </is>
      </c>
      <c r="O345" s="2" t="n">
        <v>6</v>
      </c>
      <c r="P345" s="2" t="inlineStr">
        <is>
          <t>Normale</t>
        </is>
      </c>
    </row>
    <row r="346">
      <c r="A346" s="2" t="inlineStr">
        <is>
          <t>Caqueret</t>
        </is>
      </c>
      <c r="B346" s="2" t="inlineStr">
        <is>
          <t>Como</t>
        </is>
      </c>
      <c r="C346" s="2" t="inlineStr">
        <is>
          <t>C</t>
        </is>
      </c>
      <c r="D346" s="2" t="inlineStr">
        <is>
          <t>C/T</t>
        </is>
      </c>
      <c r="E346" s="2" t="n">
        <v>6</v>
      </c>
      <c r="F346" s="2" t="n">
        <v>17</v>
      </c>
      <c r="G346" s="2" t="n">
        <v>1.25</v>
      </c>
      <c r="H346" s="2" t="n">
        <v>0.5</v>
      </c>
      <c r="I346" s="2" t="n">
        <v>8</v>
      </c>
      <c r="J346" s="2" t="inlineStr">
        <is>
          <t>Riserva</t>
        </is>
      </c>
      <c r="K346" s="2" t="n">
        <v>60</v>
      </c>
      <c r="L346" s="2" t="n">
        <v>6.06</v>
      </c>
      <c r="M346" s="2" t="n">
        <v>0</v>
      </c>
      <c r="N346" s="2" t="inlineStr">
        <is>
          <t>P</t>
        </is>
      </c>
      <c r="O346" s="2" t="n">
        <v>1</v>
      </c>
      <c r="P346" s="2" t="inlineStr">
        <is>
          <t>🪑 Riserva Fissa (da fasciaFc)</t>
        </is>
      </c>
    </row>
    <row r="347">
      <c r="A347" s="2" t="inlineStr">
        <is>
          <t>Ellertsson</t>
        </is>
      </c>
      <c r="B347" s="2" t="inlineStr">
        <is>
          <t>Genoa</t>
        </is>
      </c>
      <c r="C347" s="2" t="inlineStr">
        <is>
          <t>C</t>
        </is>
      </c>
      <c r="D347" s="2" t="inlineStr">
        <is>
          <t>E/C</t>
        </is>
      </c>
      <c r="E347" s="2" t="n">
        <v>6</v>
      </c>
      <c r="F347" s="2" t="n">
        <v>16</v>
      </c>
      <c r="G347" s="2" t="n">
        <v>1.5</v>
      </c>
      <c r="H347" s="2" t="n">
        <v>0.5</v>
      </c>
      <c r="I347" s="2" t="n">
        <v>8</v>
      </c>
      <c r="J347" s="2" t="inlineStr">
        <is>
          <t>TitLowCost</t>
        </is>
      </c>
      <c r="K347" s="2" t="n">
        <v>86</v>
      </c>
      <c r="L347" s="2" t="n">
        <v>6.33</v>
      </c>
      <c r="M347" s="2" t="n">
        <v>0</v>
      </c>
      <c r="N347" s="2" t="inlineStr">
        <is>
          <t>B</t>
        </is>
      </c>
      <c r="O347" s="2" t="n">
        <v>1</v>
      </c>
      <c r="P347" s="2" t="inlineStr">
        <is>
          <t>🟡 Ballottaggio</t>
        </is>
      </c>
    </row>
    <row r="348">
      <c r="A348" s="2" t="inlineStr">
        <is>
          <t>Fazzini</t>
        </is>
      </c>
      <c r="B348" s="2" t="inlineStr">
        <is>
          <t>Cagliari</t>
        </is>
      </c>
      <c r="C348" s="2" t="inlineStr">
        <is>
          <t>C</t>
        </is>
      </c>
      <c r="D348" s="2" t="inlineStr">
        <is>
          <t>C/T</t>
        </is>
      </c>
      <c r="E348" s="2" t="n">
        <v>6</v>
      </c>
      <c r="F348" s="2" t="n">
        <v>23</v>
      </c>
      <c r="G348" s="2" t="n">
        <v>2.8</v>
      </c>
      <c r="H348" s="2" t="n">
        <v>0.5</v>
      </c>
      <c r="I348" s="2" t="n">
        <v>8</v>
      </c>
      <c r="J348" s="2" t="inlineStr">
        <is>
          <t>TitLowCost</t>
        </is>
      </c>
      <c r="K348" s="2" t="n">
        <v>90</v>
      </c>
      <c r="L348" s="2" t="n">
        <v>6.43</v>
      </c>
      <c r="M348" s="2" t="n">
        <v>0</v>
      </c>
      <c r="N348" s="2" t="inlineStr">
        <is>
          <t>T</t>
        </is>
      </c>
      <c r="O348" s="2" t="n">
        <v>2</v>
      </c>
      <c r="P348" s="2" t="inlineStr">
        <is>
          <t>Normale</t>
        </is>
      </c>
    </row>
    <row r="349">
      <c r="A349" s="2" t="inlineStr">
        <is>
          <t>Liberali</t>
        </is>
      </c>
      <c r="B349" s="2" t="inlineStr">
        <is>
          <t>Como</t>
        </is>
      </c>
      <c r="C349" s="2" t="inlineStr">
        <is>
          <t>C</t>
        </is>
      </c>
      <c r="D349" s="2" t="inlineStr">
        <is>
          <t>T</t>
        </is>
      </c>
      <c r="E349" s="2" t="n">
        <v>6</v>
      </c>
      <c r="F349" s="2" t="n">
        <v>21</v>
      </c>
      <c r="G349" s="2" t="n">
        <v>1.9</v>
      </c>
      <c r="H349" s="2" t="n">
        <v>0.5</v>
      </c>
      <c r="I349" s="2" t="n">
        <v>8</v>
      </c>
      <c r="J349" s="2" t="inlineStr">
        <is>
          <t>TitLowCost</t>
        </is>
      </c>
      <c r="K349" s="2" t="n">
        <v>76</v>
      </c>
      <c r="L349" s="2" t="n">
        <v>6.57</v>
      </c>
      <c r="M349" s="2" t="n">
        <v>0</v>
      </c>
      <c r="N349" s="2" t="inlineStr">
        <is>
          <t>P</t>
        </is>
      </c>
      <c r="O349" s="2" t="n">
        <v>1</v>
      </c>
      <c r="P349" s="2" t="inlineStr">
        <is>
          <t>Normale</t>
        </is>
      </c>
    </row>
    <row r="350">
      <c r="A350" s="2" t="inlineStr">
        <is>
          <t>Matic</t>
        </is>
      </c>
      <c r="B350" s="2" t="inlineStr">
        <is>
          <t>Sassuolo</t>
        </is>
      </c>
      <c r="C350" s="2" t="inlineStr">
        <is>
          <t>C</t>
        </is>
      </c>
      <c r="D350" s="2" t="inlineStr">
        <is>
          <t>M/C</t>
        </is>
      </c>
      <c r="E350" s="2" t="n">
        <v>6</v>
      </c>
      <c r="F350" s="2" t="n">
        <v>15</v>
      </c>
      <c r="G350" s="2" t="n">
        <v>1.55</v>
      </c>
      <c r="H350" s="2" t="n">
        <v>0.5</v>
      </c>
      <c r="I350" s="2" t="n">
        <v>8</v>
      </c>
      <c r="J350" s="2" t="inlineStr">
        <is>
          <t>TitLowCost</t>
        </is>
      </c>
      <c r="K350" s="2" t="n">
        <v>90</v>
      </c>
      <c r="L350" s="2" t="n">
        <v>6.15</v>
      </c>
      <c r="M350" s="2" t="n">
        <v>0</v>
      </c>
      <c r="N350" s="2" t="inlineStr">
        <is>
          <t>T</t>
        </is>
      </c>
      <c r="O350" s="2" t="n">
        <v>1</v>
      </c>
      <c r="P350" s="2" t="inlineStr">
        <is>
          <t>Normale</t>
        </is>
      </c>
    </row>
    <row r="351">
      <c r="A351" s="2" t="inlineStr">
        <is>
          <t>Milla</t>
        </is>
      </c>
      <c r="B351" s="2" t="inlineStr">
        <is>
          <t>Como</t>
        </is>
      </c>
      <c r="C351" s="2" t="inlineStr">
        <is>
          <t>C</t>
        </is>
      </c>
      <c r="D351" s="2" t="inlineStr">
        <is>
          <t>M/C</t>
        </is>
      </c>
      <c r="E351" s="2" t="n">
        <v>6</v>
      </c>
      <c r="F351" s="2" t="n">
        <v>30</v>
      </c>
      <c r="G351" s="2" t="n">
        <v>7.95</v>
      </c>
      <c r="H351" s="2" t="n">
        <v>0.5</v>
      </c>
      <c r="I351" s="2" t="n">
        <v>8</v>
      </c>
      <c r="J351" s="2" t="inlineStr">
        <is>
          <t>TitLowCost</t>
        </is>
      </c>
      <c r="K351" s="2" t="n">
        <v>84</v>
      </c>
      <c r="L351" s="2" t="n">
        <v>6.3</v>
      </c>
      <c r="M351" s="2" t="n">
        <v>0</v>
      </c>
      <c r="N351" s="2" t="inlineStr">
        <is>
          <t>B</t>
        </is>
      </c>
      <c r="O351" s="2" t="n">
        <v>7</v>
      </c>
      <c r="P351" s="2" t="inlineStr">
        <is>
          <t>🟡 Ballottaggio</t>
        </is>
      </c>
    </row>
    <row r="352">
      <c r="A352" s="2" t="inlineStr">
        <is>
          <t>Nicolussi Caviglia</t>
        </is>
      </c>
      <c r="B352" s="2" t="inlineStr">
        <is>
          <t>Parma</t>
        </is>
      </c>
      <c r="C352" s="2" t="inlineStr">
        <is>
          <t>C</t>
        </is>
      </c>
      <c r="D352" s="2" t="inlineStr">
        <is>
          <t>M/C</t>
        </is>
      </c>
      <c r="E352" s="2" t="n">
        <v>6</v>
      </c>
      <c r="F352" s="2" t="n">
        <v>16</v>
      </c>
      <c r="G352" s="2" t="n">
        <v>1.2</v>
      </c>
      <c r="H352" s="2" t="n">
        <v>0.5</v>
      </c>
      <c r="I352" s="2" t="n">
        <v>8</v>
      </c>
      <c r="J352" s="2" t="inlineStr">
        <is>
          <t>Jolly</t>
        </is>
      </c>
      <c r="K352" s="2" t="n">
        <v>74</v>
      </c>
      <c r="L352" s="2" t="n">
        <v>6.24</v>
      </c>
      <c r="M352" s="2" t="n">
        <v>0</v>
      </c>
      <c r="N352" s="2" t="inlineStr">
        <is>
          <t>P</t>
        </is>
      </c>
      <c r="O352" s="2" t="n">
        <v>1</v>
      </c>
      <c r="P352" s="2" t="inlineStr">
        <is>
          <t>🔴 Infortunato/Dubbio</t>
        </is>
      </c>
    </row>
    <row r="353">
      <c r="A353" s="2" t="inlineStr">
        <is>
          <t>Oristanio</t>
        </is>
      </c>
      <c r="B353" s="2" t="inlineStr">
        <is>
          <t>Torino</t>
        </is>
      </c>
      <c r="C353" s="2" t="inlineStr">
        <is>
          <t>C</t>
        </is>
      </c>
      <c r="D353" s="2" t="inlineStr">
        <is>
          <t>W/T</t>
        </is>
      </c>
      <c r="E353" s="2" t="n">
        <v>6</v>
      </c>
      <c r="F353" s="2" t="n">
        <v>12</v>
      </c>
      <c r="G353" s="2" t="n">
        <v>0.9</v>
      </c>
      <c r="H353" s="2" t="n">
        <v>0.5</v>
      </c>
      <c r="I353" s="2" t="n">
        <v>8</v>
      </c>
      <c r="J353" s="2" t="inlineStr">
        <is>
          <t>TitLowCost</t>
        </is>
      </c>
      <c r="K353" s="2" t="n">
        <v>75</v>
      </c>
      <c r="L353" s="2" t="n">
        <v>6.37</v>
      </c>
      <c r="M353" s="2" t="n">
        <v>0</v>
      </c>
      <c r="N353" s="2" t="inlineStr">
        <is>
          <t>P</t>
        </is>
      </c>
      <c r="O353" s="2" t="n">
        <v>1</v>
      </c>
      <c r="P353" s="2" t="inlineStr">
        <is>
          <t>Normale</t>
        </is>
      </c>
    </row>
    <row r="354">
      <c r="A354" s="2" t="inlineStr">
        <is>
          <t>Oulai</t>
        </is>
      </c>
      <c r="B354" s="2" t="inlineStr">
        <is>
          <t>Fiorentina</t>
        </is>
      </c>
      <c r="C354" s="2" t="inlineStr">
        <is>
          <t>C</t>
        </is>
      </c>
      <c r="D354" s="2" t="inlineStr">
        <is>
          <t>M/C</t>
        </is>
      </c>
      <c r="E354" s="2" t="n">
        <v>6</v>
      </c>
      <c r="F354" s="2" t="n">
        <v>18</v>
      </c>
      <c r="G354" s="2" t="n">
        <v>2.45</v>
      </c>
      <c r="H354" s="2" t="n">
        <v>0.5</v>
      </c>
      <c r="I354" s="2" t="n">
        <v>8</v>
      </c>
      <c r="J354" s="2" t="inlineStr">
        <is>
          <t>TitLowCost</t>
        </is>
      </c>
      <c r="K354" s="2" t="n">
        <v>80</v>
      </c>
      <c r="L354" s="2" t="n">
        <v>6.48</v>
      </c>
      <c r="M354" s="2" t="n">
        <v>0</v>
      </c>
      <c r="N354" s="2" t="inlineStr">
        <is>
          <t>B</t>
        </is>
      </c>
      <c r="O354" s="2" t="n">
        <v>1</v>
      </c>
      <c r="P354" s="2" t="inlineStr">
        <is>
          <t>🟡 Ballottaggio</t>
        </is>
      </c>
    </row>
    <row r="355">
      <c r="A355" s="2" t="inlineStr">
        <is>
          <t>Pessina</t>
        </is>
      </c>
      <c r="B355" s="2" t="inlineStr">
        <is>
          <t>Monza</t>
        </is>
      </c>
      <c r="C355" s="2" t="inlineStr">
        <is>
          <t>C</t>
        </is>
      </c>
      <c r="D355" s="2" t="inlineStr">
        <is>
          <t>M/C</t>
        </is>
      </c>
      <c r="E355" s="2" t="n">
        <v>6</v>
      </c>
      <c r="F355" s="2" t="n">
        <v>15</v>
      </c>
      <c r="G355" s="2" t="n">
        <v>1.2</v>
      </c>
      <c r="H355" s="2" t="n">
        <v>0.5</v>
      </c>
      <c r="I355" s="2" t="n">
        <v>8</v>
      </c>
      <c r="J355" s="2" t="inlineStr">
        <is>
          <t>TitLowCost</t>
        </is>
      </c>
      <c r="K355" s="2" t="n">
        <v>75</v>
      </c>
      <c r="L355" s="2" t="n">
        <v>6.45</v>
      </c>
      <c r="M355" s="2" t="n">
        <v>70</v>
      </c>
      <c r="N355" s="2" t="inlineStr">
        <is>
          <t>T</t>
        </is>
      </c>
      <c r="O355" s="2" t="n">
        <v>1</v>
      </c>
      <c r="P355" s="2" t="inlineStr">
        <is>
          <t>🔴 Infortunato/Dubbio</t>
        </is>
      </c>
    </row>
    <row r="356">
      <c r="A356" s="2" t="inlineStr">
        <is>
          <t>Pierotti</t>
        </is>
      </c>
      <c r="B356" s="2" t="inlineStr">
        <is>
          <t>Lecce</t>
        </is>
      </c>
      <c r="C356" s="2" t="inlineStr">
        <is>
          <t>C</t>
        </is>
      </c>
      <c r="D356" s="2" t="inlineStr">
        <is>
          <t>W</t>
        </is>
      </c>
      <c r="E356" s="2" t="n">
        <v>6</v>
      </c>
      <c r="F356" s="2" t="n">
        <v>19</v>
      </c>
      <c r="G356" s="2" t="n">
        <v>0.95</v>
      </c>
      <c r="H356" s="2" t="n">
        <v>0.5</v>
      </c>
      <c r="I356" s="2" t="n">
        <v>8</v>
      </c>
      <c r="J356" s="2" t="inlineStr">
        <is>
          <t>TitLowCost</t>
        </is>
      </c>
      <c r="K356" s="2" t="n">
        <v>92</v>
      </c>
      <c r="L356" s="2" t="n">
        <v>6.36</v>
      </c>
      <c r="M356" s="2" t="n">
        <v>10</v>
      </c>
      <c r="N356" s="2" t="inlineStr">
        <is>
          <t>T</t>
        </is>
      </c>
      <c r="O356" s="2" t="n">
        <v>1</v>
      </c>
      <c r="P356" s="2" t="inlineStr">
        <is>
          <t>Normale</t>
        </is>
      </c>
    </row>
    <row r="357">
      <c r="A357" s="2" t="inlineStr">
        <is>
          <t>Piotrowski</t>
        </is>
      </c>
      <c r="B357" s="2" t="inlineStr">
        <is>
          <t>Udinese</t>
        </is>
      </c>
      <c r="C357" s="2" t="inlineStr">
        <is>
          <t>C</t>
        </is>
      </c>
      <c r="D357" s="2" t="inlineStr">
        <is>
          <t>M/C</t>
        </is>
      </c>
      <c r="E357" s="2" t="n">
        <v>6</v>
      </c>
      <c r="F357" s="2" t="n">
        <v>15</v>
      </c>
      <c r="G357" s="2" t="n">
        <v>2</v>
      </c>
      <c r="H357" s="2" t="n">
        <v>0.5</v>
      </c>
      <c r="I357" s="2" t="n">
        <v>8</v>
      </c>
      <c r="J357" s="2" t="inlineStr">
        <is>
          <t>TitLowCost</t>
        </is>
      </c>
      <c r="K357" s="2" t="n">
        <v>84</v>
      </c>
      <c r="L357" s="2" t="n">
        <v>6.33</v>
      </c>
      <c r="M357" s="2" t="n">
        <v>0</v>
      </c>
      <c r="N357" s="2" t="inlineStr">
        <is>
          <t>B</t>
        </is>
      </c>
      <c r="O357" s="2" t="n">
        <v>1</v>
      </c>
      <c r="P357" s="2" t="inlineStr">
        <is>
          <t>🟡 Ballottaggio</t>
        </is>
      </c>
    </row>
    <row r="358">
      <c r="A358" s="2" t="inlineStr">
        <is>
          <t>Pobega</t>
        </is>
      </c>
      <c r="B358" s="2" t="inlineStr">
        <is>
          <t>Bologna</t>
        </is>
      </c>
      <c r="C358" s="2" t="inlineStr">
        <is>
          <t>C</t>
        </is>
      </c>
      <c r="D358" s="2" t="inlineStr">
        <is>
          <t>M/C</t>
        </is>
      </c>
      <c r="E358" s="2" t="n">
        <v>6</v>
      </c>
      <c r="F358" s="2" t="n">
        <v>12</v>
      </c>
      <c r="G358" s="2" t="n">
        <v>1.25</v>
      </c>
      <c r="H358" s="2" t="n">
        <v>0.5</v>
      </c>
      <c r="I358" s="2" t="n">
        <v>8</v>
      </c>
      <c r="J358" s="2" t="inlineStr">
        <is>
          <t>TitLowCost</t>
        </is>
      </c>
      <c r="K358" s="2" t="n">
        <v>80</v>
      </c>
      <c r="L358" s="2" t="n">
        <v>6.34</v>
      </c>
      <c r="M358" s="2" t="n">
        <v>0</v>
      </c>
      <c r="N358" s="2" t="inlineStr">
        <is>
          <t>P</t>
        </is>
      </c>
      <c r="O358" s="2" t="n">
        <v>1</v>
      </c>
      <c r="P358" s="2" t="inlineStr">
        <is>
          <t>Normale</t>
        </is>
      </c>
    </row>
    <row r="359">
      <c r="A359" s="2" t="inlineStr">
        <is>
          <t>Tourè I.</t>
        </is>
      </c>
      <c r="B359" s="2" t="inlineStr">
        <is>
          <t>Monza</t>
        </is>
      </c>
      <c r="C359" s="2" t="inlineStr">
        <is>
          <t>C</t>
        </is>
      </c>
      <c r="D359" s="2" t="inlineStr">
        <is>
          <t>E/M</t>
        </is>
      </c>
      <c r="E359" s="2" t="n">
        <v>6</v>
      </c>
      <c r="F359" s="2" t="n">
        <v>14</v>
      </c>
      <c r="G359" s="2" t="n">
        <v>1.15</v>
      </c>
      <c r="H359" s="2" t="n">
        <v>0.5</v>
      </c>
      <c r="I359" s="2" t="n">
        <v>8</v>
      </c>
      <c r="J359" s="2" t="inlineStr">
        <is>
          <t>TitLowCost</t>
        </is>
      </c>
      <c r="K359" s="2" t="n">
        <v>86</v>
      </c>
      <c r="L359" s="2" t="n">
        <v>6</v>
      </c>
      <c r="M359" s="2" t="n">
        <v>0</v>
      </c>
      <c r="N359" s="2" t="inlineStr">
        <is>
          <t>T</t>
        </is>
      </c>
      <c r="O359" s="2" t="n">
        <v>1</v>
      </c>
      <c r="P359" s="2" t="inlineStr">
        <is>
          <t>🔴 Infortunato/Dubbio</t>
        </is>
      </c>
    </row>
    <row r="360">
      <c r="A360" s="2" t="inlineStr">
        <is>
          <t>Winks</t>
        </is>
      </c>
      <c r="B360" s="2" t="inlineStr">
        <is>
          <t>Cagliari</t>
        </is>
      </c>
      <c r="C360" s="2" t="inlineStr">
        <is>
          <t>C</t>
        </is>
      </c>
      <c r="D360" s="2" t="inlineStr">
        <is>
          <t>M/C</t>
        </is>
      </c>
      <c r="E360" s="2" t="n">
        <v>6</v>
      </c>
      <c r="F360" s="2" t="n">
        <v>15</v>
      </c>
      <c r="G360" s="2" t="n">
        <v>1.2</v>
      </c>
      <c r="H360" s="2" t="n">
        <v>0.5</v>
      </c>
      <c r="I360" s="2" t="n">
        <v>8</v>
      </c>
      <c r="J360" s="2" t="inlineStr">
        <is>
          <t>TitLowCost</t>
        </is>
      </c>
      <c r="K360" s="2" t="n">
        <v>78</v>
      </c>
      <c r="L360" s="2" t="n">
        <v>6.21</v>
      </c>
      <c r="M360" s="2" t="n">
        <v>0</v>
      </c>
      <c r="N360" s="2" t="inlineStr">
        <is>
          <t>B</t>
        </is>
      </c>
      <c r="O360" s="2" t="n">
        <v>1</v>
      </c>
      <c r="P360" s="2" t="inlineStr">
        <is>
          <t>🟡 Ballottaggio</t>
        </is>
      </c>
    </row>
    <row r="361">
      <c r="A361" s="2" t="inlineStr">
        <is>
          <t>Zerbin</t>
        </is>
      </c>
      <c r="B361" s="2" t="inlineStr">
        <is>
          <t>Frosinone</t>
        </is>
      </c>
      <c r="C361" s="2" t="inlineStr">
        <is>
          <t>C</t>
        </is>
      </c>
      <c r="D361" s="2" t="inlineStr">
        <is>
          <t>W</t>
        </is>
      </c>
      <c r="E361" s="2" t="n">
        <v>6</v>
      </c>
      <c r="F361" s="2" t="n">
        <v>12</v>
      </c>
      <c r="G361" s="2" t="n">
        <v>1.1</v>
      </c>
      <c r="H361" s="2" t="n">
        <v>0.5</v>
      </c>
      <c r="I361" s="2" t="n">
        <v>8</v>
      </c>
      <c r="J361" s="2" t="inlineStr">
        <is>
          <t>TitLowCost</t>
        </is>
      </c>
      <c r="K361" s="2" t="n">
        <v>84</v>
      </c>
      <c r="L361" s="2" t="n">
        <v>6.08</v>
      </c>
      <c r="M361" s="2" t="n">
        <v>0</v>
      </c>
      <c r="N361" s="2" t="inlineStr">
        <is>
          <t>B</t>
        </is>
      </c>
      <c r="O361" s="2" t="n">
        <v>1</v>
      </c>
      <c r="P361" s="2" t="inlineStr">
        <is>
          <t>🟡 Ballottaggio</t>
        </is>
      </c>
    </row>
    <row r="362">
      <c r="A362" s="2" t="inlineStr">
        <is>
          <t>Zhegrova</t>
        </is>
      </c>
      <c r="B362" s="2" t="inlineStr">
        <is>
          <t>Juventus</t>
        </is>
      </c>
      <c r="C362" s="2" t="inlineStr">
        <is>
          <t>C</t>
        </is>
      </c>
      <c r="D362" s="2" t="inlineStr">
        <is>
          <t>W</t>
        </is>
      </c>
      <c r="E362" s="2" t="n">
        <v>6</v>
      </c>
      <c r="F362" s="2" t="n">
        <v>17</v>
      </c>
      <c r="G362" s="2" t="n">
        <v>1.3</v>
      </c>
      <c r="H362" s="2" t="n">
        <v>0.5</v>
      </c>
      <c r="I362" s="2" t="n">
        <v>8</v>
      </c>
      <c r="J362" s="2" t="inlineStr">
        <is>
          <t>Riserva</t>
        </is>
      </c>
      <c r="K362" s="2" t="n">
        <v>56</v>
      </c>
      <c r="L362" s="2" t="n">
        <v>6.36</v>
      </c>
      <c r="M362" s="2" t="n">
        <v>0</v>
      </c>
      <c r="N362" s="2" t="inlineStr">
        <is>
          <t>P</t>
        </is>
      </c>
      <c r="O362" s="2" t="n">
        <v>1</v>
      </c>
      <c r="P362" s="2" t="inlineStr">
        <is>
          <t>🪑 Riserva Fissa (da fasciaFc)</t>
        </is>
      </c>
    </row>
    <row r="363">
      <c r="A363" s="2" t="inlineStr">
        <is>
          <t>Amondarain</t>
        </is>
      </c>
      <c r="B363" s="2" t="inlineStr">
        <is>
          <t>Bologna</t>
        </is>
      </c>
      <c r="C363" s="2" t="inlineStr">
        <is>
          <t>C</t>
        </is>
      </c>
      <c r="D363" s="2" t="inlineStr">
        <is>
          <t>M/C</t>
        </is>
      </c>
      <c r="E363" s="2" t="n">
        <v>5</v>
      </c>
      <c r="F363" s="2" t="n">
        <v>10</v>
      </c>
      <c r="G363" s="2" t="n">
        <v>1.1</v>
      </c>
      <c r="H363" s="2" t="n">
        <v>0.5</v>
      </c>
      <c r="I363" s="2" t="n">
        <v>8</v>
      </c>
      <c r="J363" s="2" t="inlineStr">
        <is>
          <t>Riserva</t>
        </is>
      </c>
      <c r="K363" s="2" t="n">
        <v>68</v>
      </c>
      <c r="L363" s="2" t="n">
        <v>6.08</v>
      </c>
      <c r="M363" s="2" t="n">
        <v>0</v>
      </c>
      <c r="N363" s="2" t="inlineStr">
        <is>
          <t>P</t>
        </is>
      </c>
      <c r="O363" s="2" t="n">
        <v>1</v>
      </c>
      <c r="P363" s="2" t="inlineStr">
        <is>
          <t>🪑 Riserva Fissa (da fasciaFc)</t>
        </is>
      </c>
    </row>
    <row r="364">
      <c r="A364" s="2" t="inlineStr">
        <is>
          <t>Busio</t>
        </is>
      </c>
      <c r="B364" s="2" t="inlineStr">
        <is>
          <t>Venezia</t>
        </is>
      </c>
      <c r="C364" s="2" t="inlineStr">
        <is>
          <t>C</t>
        </is>
      </c>
      <c r="D364" s="2" t="inlineStr">
        <is>
          <t>M/C</t>
        </is>
      </c>
      <c r="E364" s="2" t="n">
        <v>5</v>
      </c>
      <c r="F364" s="2" t="n">
        <v>14</v>
      </c>
      <c r="G364" s="2" t="n">
        <v>3.3</v>
      </c>
      <c r="H364" s="2" t="n">
        <v>3.65</v>
      </c>
      <c r="I364" s="2" t="n">
        <v>5</v>
      </c>
      <c r="J364" s="2" t="inlineStr">
        <is>
          <t>OttimoTit</t>
        </is>
      </c>
      <c r="K364" s="2" t="n">
        <v>92</v>
      </c>
      <c r="L364" s="2" t="n">
        <v>6.47</v>
      </c>
      <c r="M364" s="2" t="n">
        <v>70</v>
      </c>
      <c r="N364" s="2" t="inlineStr">
        <is>
          <t>T</t>
        </is>
      </c>
      <c r="O364" s="2" t="n">
        <v>3</v>
      </c>
      <c r="P364" s="2" t="inlineStr">
        <is>
          <t>🎯 Rigorista designato</t>
        </is>
      </c>
    </row>
    <row r="365">
      <c r="A365" s="2" t="inlineStr">
        <is>
          <t>Cissè A.</t>
        </is>
      </c>
      <c r="B365" s="2" t="inlineStr">
        <is>
          <t>Milan</t>
        </is>
      </c>
      <c r="C365" s="2" t="inlineStr">
        <is>
          <t>C</t>
        </is>
      </c>
      <c r="D365" s="2" t="inlineStr">
        <is>
          <t>W/T</t>
        </is>
      </c>
      <c r="E365" s="2" t="n">
        <v>5</v>
      </c>
      <c r="F365" s="2" t="n">
        <v>24</v>
      </c>
      <c r="G365" s="2" t="n">
        <v>5.55</v>
      </c>
      <c r="H365" s="2" t="n">
        <v>0.5</v>
      </c>
      <c r="I365" s="2" t="n">
        <v>8</v>
      </c>
      <c r="J365" s="2" t="inlineStr">
        <is>
          <t>Riserva</t>
        </is>
      </c>
      <c r="K365" s="2" t="n">
        <v>61</v>
      </c>
      <c r="L365" s="2" t="n">
        <v>6.42</v>
      </c>
      <c r="M365" s="2" t="n">
        <v>0</v>
      </c>
      <c r="N365" s="2" t="inlineStr">
        <is>
          <t>P</t>
        </is>
      </c>
      <c r="O365" s="2" t="n">
        <v>3.5</v>
      </c>
      <c r="P365" s="2" t="inlineStr">
        <is>
          <t>🪑 Riserva Fissa (da fasciaFc)</t>
        </is>
      </c>
    </row>
    <row r="366">
      <c r="A366" s="2" t="inlineStr">
        <is>
          <t>Dele-Bashiru</t>
        </is>
      </c>
      <c r="B366" s="2" t="inlineStr">
        <is>
          <t>Lazio</t>
        </is>
      </c>
      <c r="C366" s="2" t="inlineStr">
        <is>
          <t>C</t>
        </is>
      </c>
      <c r="D366" s="2" t="inlineStr">
        <is>
          <t>C/T</t>
        </is>
      </c>
      <c r="E366" s="2" t="n">
        <v>5</v>
      </c>
      <c r="F366" s="2" t="n">
        <v>13</v>
      </c>
      <c r="G366" s="2" t="n">
        <v>1.05</v>
      </c>
      <c r="H366" s="2" t="n">
        <v>0.5</v>
      </c>
      <c r="I366" s="2" t="n">
        <v>8</v>
      </c>
      <c r="J366" s="2" t="inlineStr">
        <is>
          <t>Jolly</t>
        </is>
      </c>
      <c r="K366" s="2" t="n">
        <v>72</v>
      </c>
      <c r="L366" s="2" t="n">
        <v>6.37</v>
      </c>
      <c r="M366" s="2" t="n">
        <v>0</v>
      </c>
      <c r="N366" s="2" t="inlineStr">
        <is>
          <t>P</t>
        </is>
      </c>
      <c r="O366" s="2" t="n">
        <v>1</v>
      </c>
      <c r="P366" s="2" t="inlineStr">
        <is>
          <t>Normale</t>
        </is>
      </c>
    </row>
    <row r="367">
      <c r="A367" s="2" t="inlineStr">
        <is>
          <t>Felici</t>
        </is>
      </c>
      <c r="B367" s="2" t="inlineStr">
        <is>
          <t>Cagliari</t>
        </is>
      </c>
      <c r="C367" s="2" t="inlineStr">
        <is>
          <t>C</t>
        </is>
      </c>
      <c r="D367" s="2" t="inlineStr">
        <is>
          <t>W</t>
        </is>
      </c>
      <c r="E367" s="2" t="n">
        <v>5</v>
      </c>
      <c r="F367" s="2" t="n">
        <v>7</v>
      </c>
      <c r="G367" s="2" t="n">
        <v>1</v>
      </c>
      <c r="H367" s="2" t="n">
        <v>0.5</v>
      </c>
      <c r="I367" s="2" t="n">
        <v>8</v>
      </c>
      <c r="J367" s="2" t="inlineStr">
        <is>
          <t>Riserva</t>
        </is>
      </c>
      <c r="K367" s="2" t="n">
        <v>52</v>
      </c>
      <c r="L367" s="2" t="n">
        <v>6.15</v>
      </c>
      <c r="M367" s="2" t="n">
        <v>0</v>
      </c>
      <c r="N367" s="2" t="inlineStr">
        <is>
          <t>P</t>
        </is>
      </c>
      <c r="O367" s="2" t="n">
        <v>1</v>
      </c>
      <c r="P367" s="2" t="inlineStr">
        <is>
          <t>🪑 Riserva Fissa (da fasciaFc)</t>
        </is>
      </c>
    </row>
    <row r="368">
      <c r="A368" s="2" t="inlineStr">
        <is>
          <t>Fitz-Jim</t>
        </is>
      </c>
      <c r="B368" s="2" t="inlineStr">
        <is>
          <t>Torino</t>
        </is>
      </c>
      <c r="C368" s="2" t="inlineStr">
        <is>
          <t>C</t>
        </is>
      </c>
      <c r="D368" s="2" t="inlineStr">
        <is>
          <t>M/C</t>
        </is>
      </c>
      <c r="E368" s="2" t="n">
        <v>5</v>
      </c>
      <c r="F368" s="2" t="n">
        <v>18</v>
      </c>
      <c r="G368" s="2" t="n">
        <v>2.25</v>
      </c>
      <c r="H368" s="2" t="n">
        <v>0.5</v>
      </c>
      <c r="I368" s="2" t="n">
        <v>8</v>
      </c>
      <c r="J368" s="2" t="inlineStr">
        <is>
          <t>TitLowCost</t>
        </is>
      </c>
      <c r="K368" s="2" t="n">
        <v>84</v>
      </c>
      <c r="L368" s="2" t="n">
        <v>6.41</v>
      </c>
      <c r="M368" s="2" t="n">
        <v>0</v>
      </c>
      <c r="N368" s="2" t="inlineStr">
        <is>
          <t>B</t>
        </is>
      </c>
      <c r="O368" s="2" t="n">
        <v>2</v>
      </c>
      <c r="P368" s="2" t="inlineStr">
        <is>
          <t>🟡 Ballottaggio</t>
        </is>
      </c>
    </row>
    <row r="369">
      <c r="A369" s="2" t="inlineStr">
        <is>
          <t>Gineitis</t>
        </is>
      </c>
      <c r="B369" s="2" t="inlineStr">
        <is>
          <t>Torino</t>
        </is>
      </c>
      <c r="C369" s="2" t="inlineStr">
        <is>
          <t>C</t>
        </is>
      </c>
      <c r="D369" s="2" t="inlineStr">
        <is>
          <t>M/C</t>
        </is>
      </c>
      <c r="E369" s="2" t="n">
        <v>5</v>
      </c>
      <c r="F369" s="2" t="n">
        <v>12</v>
      </c>
      <c r="G369" s="2" t="n">
        <v>1.25</v>
      </c>
      <c r="H369" s="2" t="n">
        <v>0.5</v>
      </c>
      <c r="I369" s="2" t="n">
        <v>8</v>
      </c>
      <c r="J369" s="2" t="inlineStr">
        <is>
          <t>TitLowCost</t>
        </is>
      </c>
      <c r="K369" s="2" t="n">
        <v>80</v>
      </c>
      <c r="L369" s="2" t="n">
        <v>6.29</v>
      </c>
      <c r="M369" s="2" t="n">
        <v>0</v>
      </c>
      <c r="N369" s="2" t="inlineStr">
        <is>
          <t>B</t>
        </is>
      </c>
      <c r="O369" s="2" t="n">
        <v>1</v>
      </c>
      <c r="P369" s="2" t="inlineStr">
        <is>
          <t>🟡 Ballottaggio</t>
        </is>
      </c>
    </row>
    <row r="370">
      <c r="A370" s="2" t="inlineStr">
        <is>
          <t>Jashari</t>
        </is>
      </c>
      <c r="B370" s="2" t="inlineStr">
        <is>
          <t>Milan</t>
        </is>
      </c>
      <c r="C370" s="2" t="inlineStr">
        <is>
          <t>C</t>
        </is>
      </c>
      <c r="D370" s="2" t="inlineStr">
        <is>
          <t>M/C</t>
        </is>
      </c>
      <c r="E370" s="2" t="n">
        <v>5</v>
      </c>
      <c r="F370" s="2" t="n">
        <v>13</v>
      </c>
      <c r="G370" s="2" t="n">
        <v>1.7</v>
      </c>
      <c r="H370" s="2" t="n">
        <v>0.5</v>
      </c>
      <c r="I370" s="2" t="n">
        <v>8</v>
      </c>
      <c r="J370" s="2" t="inlineStr">
        <is>
          <t>TitLowCost</t>
        </is>
      </c>
      <c r="K370" s="2" t="n">
        <v>88</v>
      </c>
      <c r="L370" s="2" t="n">
        <v>6.32</v>
      </c>
      <c r="M370" s="2" t="n">
        <v>0</v>
      </c>
      <c r="N370" s="2" t="inlineStr">
        <is>
          <t>B</t>
        </is>
      </c>
      <c r="O370" s="2" t="n">
        <v>1</v>
      </c>
      <c r="P370" s="2" t="inlineStr">
        <is>
          <t>🟡 Ballottaggio</t>
        </is>
      </c>
    </row>
    <row r="371">
      <c r="A371" s="2" t="inlineStr">
        <is>
          <t>Keita M.</t>
        </is>
      </c>
      <c r="B371" s="2" t="inlineStr">
        <is>
          <t>Parma</t>
        </is>
      </c>
      <c r="C371" s="2" t="inlineStr">
        <is>
          <t>C</t>
        </is>
      </c>
      <c r="D371" s="2" t="inlineStr">
        <is>
          <t>M/C</t>
        </is>
      </c>
      <c r="E371" s="2" t="n">
        <v>5</v>
      </c>
      <c r="F371" s="2" t="n">
        <v>15</v>
      </c>
      <c r="G371" s="2" t="n">
        <v>1.5</v>
      </c>
      <c r="H371" s="2" t="n">
        <v>0.5</v>
      </c>
      <c r="I371" s="2" t="n">
        <v>8</v>
      </c>
      <c r="J371" s="2" t="inlineStr">
        <is>
          <t>TitLowCost</t>
        </is>
      </c>
      <c r="K371" s="2" t="n">
        <v>92</v>
      </c>
      <c r="L371" s="2" t="n">
        <v>6.12</v>
      </c>
      <c r="M371" s="2" t="n">
        <v>0</v>
      </c>
      <c r="N371" s="2" t="inlineStr">
        <is>
          <t>T</t>
        </is>
      </c>
      <c r="O371" s="2" t="n">
        <v>1</v>
      </c>
      <c r="P371" s="2" t="inlineStr">
        <is>
          <t>Normale</t>
        </is>
      </c>
    </row>
    <row r="372">
      <c r="A372" s="2" t="inlineStr">
        <is>
          <t>Luis Henrique</t>
        </is>
      </c>
      <c r="B372" s="2" t="inlineStr">
        <is>
          <t>Inter</t>
        </is>
      </c>
      <c r="C372" s="2" t="inlineStr">
        <is>
          <t>C</t>
        </is>
      </c>
      <c r="D372" s="2" t="inlineStr">
        <is>
          <t>E/W</t>
        </is>
      </c>
      <c r="E372" s="2" t="n">
        <v>5</v>
      </c>
      <c r="F372" s="2" t="n">
        <v>12</v>
      </c>
      <c r="G372" s="2" t="n">
        <v>1.5</v>
      </c>
      <c r="H372" s="2" t="n">
        <v>0.5</v>
      </c>
      <c r="I372" s="2" t="n">
        <v>8</v>
      </c>
      <c r="J372" s="2" t="inlineStr">
        <is>
          <t>Riserva</t>
        </is>
      </c>
      <c r="K372" s="2" t="n">
        <v>64</v>
      </c>
      <c r="L372" s="2" t="n">
        <v>6.23</v>
      </c>
      <c r="M372" s="2" t="n">
        <v>0</v>
      </c>
      <c r="N372" s="2" t="inlineStr">
        <is>
          <t>P</t>
        </is>
      </c>
      <c r="O372" s="2" t="n">
        <v>1</v>
      </c>
      <c r="P372" s="2" t="inlineStr">
        <is>
          <t>🪑 Riserva Fissa (da fasciaFc)</t>
        </is>
      </c>
    </row>
    <row r="373">
      <c r="A373" s="2" t="inlineStr">
        <is>
          <t>Meichtry</t>
        </is>
      </c>
      <c r="B373" s="2" t="inlineStr">
        <is>
          <t>Genoa</t>
        </is>
      </c>
      <c r="C373" s="2" t="inlineStr">
        <is>
          <t>C</t>
        </is>
      </c>
      <c r="D373" s="2" t="inlineStr">
        <is>
          <t>W/T</t>
        </is>
      </c>
      <c r="E373" s="2" t="n">
        <v>5</v>
      </c>
      <c r="F373" s="2" t="n">
        <v>11</v>
      </c>
      <c r="G373" s="2" t="n">
        <v>1.05</v>
      </c>
      <c r="H373" s="2" t="n">
        <v>0.5</v>
      </c>
      <c r="I373" s="2" t="n">
        <v>8</v>
      </c>
      <c r="J373" s="2" t="inlineStr">
        <is>
          <t>Jolly</t>
        </is>
      </c>
      <c r="K373" s="2" t="n">
        <v>74</v>
      </c>
      <c r="L373" s="2" t="n">
        <v>6.42</v>
      </c>
      <c r="M373" s="2" t="n">
        <v>0</v>
      </c>
      <c r="N373" s="2" t="inlineStr">
        <is>
          <t>P</t>
        </is>
      </c>
      <c r="O373" s="2" t="n">
        <v>1</v>
      </c>
      <c r="P373" s="2" t="inlineStr">
        <is>
          <t>Normale</t>
        </is>
      </c>
    </row>
    <row r="374">
      <c r="A374" s="2" t="inlineStr">
        <is>
          <t>Perez K.</t>
        </is>
      </c>
      <c r="B374" s="2" t="inlineStr">
        <is>
          <t>Venezia</t>
        </is>
      </c>
      <c r="C374" s="2" t="inlineStr">
        <is>
          <t>C</t>
        </is>
      </c>
      <c r="D374" s="2" t="inlineStr">
        <is>
          <t>C/T</t>
        </is>
      </c>
      <c r="E374" s="2" t="n">
        <v>5</v>
      </c>
      <c r="F374" s="2" t="n">
        <v>15</v>
      </c>
      <c r="G374" s="2" t="n">
        <v>1.05</v>
      </c>
      <c r="H374" s="2" t="n">
        <v>0.5</v>
      </c>
      <c r="I374" s="2" t="n">
        <v>8</v>
      </c>
      <c r="J374" s="2" t="inlineStr">
        <is>
          <t>TitLowCost</t>
        </is>
      </c>
      <c r="K374" s="2" t="n">
        <v>88</v>
      </c>
      <c r="L374" s="2" t="n">
        <v>6.13</v>
      </c>
      <c r="M374" s="2" t="n">
        <v>0</v>
      </c>
      <c r="N374" s="2" t="inlineStr">
        <is>
          <t>T</t>
        </is>
      </c>
      <c r="O374" s="2" t="n">
        <v>1</v>
      </c>
      <c r="P374" s="2" t="inlineStr">
        <is>
          <t>Normale</t>
        </is>
      </c>
    </row>
    <row r="375">
      <c r="A375" s="2" t="inlineStr">
        <is>
          <t>Sohm</t>
        </is>
      </c>
      <c r="B375" s="2" t="inlineStr">
        <is>
          <t>Venezia</t>
        </is>
      </c>
      <c r="C375" s="2" t="inlineStr">
        <is>
          <t>C</t>
        </is>
      </c>
      <c r="D375" s="2" t="inlineStr">
        <is>
          <t>C</t>
        </is>
      </c>
      <c r="E375" s="2" t="n">
        <v>5</v>
      </c>
      <c r="F375" s="2" t="n">
        <v>11</v>
      </c>
      <c r="G375" s="2" t="n">
        <v>0.95</v>
      </c>
      <c r="H375" s="2" t="n">
        <v>0.5</v>
      </c>
      <c r="I375" s="2" t="n">
        <v>8</v>
      </c>
      <c r="J375" s="2" t="inlineStr">
        <is>
          <t>TitLowCost</t>
        </is>
      </c>
      <c r="K375" s="2" t="n">
        <v>76</v>
      </c>
      <c r="L375" s="2" t="n">
        <v>5.96</v>
      </c>
      <c r="M375" s="2" t="n">
        <v>0</v>
      </c>
      <c r="N375" s="2" t="inlineStr">
        <is>
          <t>P</t>
        </is>
      </c>
      <c r="O375" s="2" t="n">
        <v>1</v>
      </c>
      <c r="P375" s="2" t="inlineStr">
        <is>
          <t>Normale</t>
        </is>
      </c>
    </row>
    <row r="376">
      <c r="A376" s="2" t="inlineStr">
        <is>
          <t>Addai</t>
        </is>
      </c>
      <c r="B376" s="2" t="inlineStr">
        <is>
          <t>Como</t>
        </is>
      </c>
      <c r="C376" s="2" t="inlineStr">
        <is>
          <t>C</t>
        </is>
      </c>
      <c r="D376" s="2" t="inlineStr">
        <is>
          <t>W/A</t>
        </is>
      </c>
      <c r="E376" s="2" t="n">
        <v>4</v>
      </c>
      <c r="F376" s="2" t="n">
        <v>10</v>
      </c>
      <c r="G376" s="2" t="n">
        <v>1</v>
      </c>
      <c r="H376" s="2" t="n">
        <v>0.5</v>
      </c>
      <c r="I376" s="2" t="n">
        <v>8</v>
      </c>
      <c r="J376" s="2" t="inlineStr">
        <is>
          <t>Riserva</t>
        </is>
      </c>
      <c r="K376" s="2" t="n">
        <v>65</v>
      </c>
      <c r="L376" s="2" t="n">
        <v>6.39</v>
      </c>
      <c r="M376" s="2" t="n">
        <v>0</v>
      </c>
      <c r="N376" s="2" t="inlineStr">
        <is>
          <t>P</t>
        </is>
      </c>
      <c r="O376" s="2" t="n">
        <v>1</v>
      </c>
      <c r="P376" s="2" t="inlineStr">
        <is>
          <t>🔴 Infortunato/Dubbio</t>
        </is>
      </c>
    </row>
    <row r="377">
      <c r="A377" s="2" t="inlineStr">
        <is>
          <t>Almqvist</t>
        </is>
      </c>
      <c r="B377" s="2" t="inlineStr">
        <is>
          <t>Parma</t>
        </is>
      </c>
      <c r="C377" s="2" t="inlineStr">
        <is>
          <t>C</t>
        </is>
      </c>
      <c r="D377" s="2" t="inlineStr">
        <is>
          <t>W/A</t>
        </is>
      </c>
      <c r="E377" s="2" t="n">
        <v>4</v>
      </c>
      <c r="F377" s="2" t="n">
        <v>11</v>
      </c>
      <c r="G377" s="2" t="n">
        <v>0.95</v>
      </c>
      <c r="H377" s="2" t="n">
        <v>0.5</v>
      </c>
      <c r="I377" s="2" t="n">
        <v>8</v>
      </c>
      <c r="J377" s="2" t="inlineStr">
        <is>
          <t>Riserva</t>
        </is>
      </c>
      <c r="K377" s="2" t="n">
        <v>60</v>
      </c>
      <c r="L377" s="2" t="n">
        <v>6.08</v>
      </c>
      <c r="M377" s="2" t="n">
        <v>0</v>
      </c>
      <c r="N377" s="2" t="inlineStr">
        <is>
          <t>P</t>
        </is>
      </c>
      <c r="O377" s="2" t="n">
        <v>1</v>
      </c>
      <c r="P377" s="2" t="inlineStr">
        <is>
          <t>🪑 Riserva Fissa (da fasciaFc)</t>
        </is>
      </c>
    </row>
    <row r="378">
      <c r="A378" s="2" t="inlineStr">
        <is>
          <t>Amorim</t>
        </is>
      </c>
      <c r="B378" s="2" t="inlineStr">
        <is>
          <t>Genoa</t>
        </is>
      </c>
      <c r="C378" s="2" t="inlineStr">
        <is>
          <t>C</t>
        </is>
      </c>
      <c r="D378" s="2" t="inlineStr">
        <is>
          <t>M/C</t>
        </is>
      </c>
      <c r="E378" s="2" t="n">
        <v>4</v>
      </c>
      <c r="F378" s="2" t="n">
        <v>11</v>
      </c>
      <c r="G378" s="2" t="n">
        <v>0.95</v>
      </c>
      <c r="H378" s="2" t="n">
        <v>0.5</v>
      </c>
      <c r="I378" s="2" t="n">
        <v>8</v>
      </c>
      <c r="J378" s="2" t="inlineStr">
        <is>
          <t>TitLowCost</t>
        </is>
      </c>
      <c r="K378" s="2" t="n">
        <v>86</v>
      </c>
      <c r="L378" s="2" t="n">
        <v>6.21</v>
      </c>
      <c r="M378" s="2" t="n">
        <v>0</v>
      </c>
      <c r="N378" s="2" t="inlineStr">
        <is>
          <t>B</t>
        </is>
      </c>
      <c r="O378" s="2" t="n">
        <v>1</v>
      </c>
      <c r="P378" s="2" t="inlineStr">
        <is>
          <t>🟡 Ballottaggio</t>
        </is>
      </c>
    </row>
    <row r="379">
      <c r="A379" s="2" t="inlineStr">
        <is>
          <t>Berisha M.</t>
        </is>
      </c>
      <c r="B379" s="2" t="inlineStr">
        <is>
          <t>Lecce</t>
        </is>
      </c>
      <c r="C379" s="2" t="inlineStr">
        <is>
          <t>C</t>
        </is>
      </c>
      <c r="D379" s="2" t="inlineStr">
        <is>
          <t>C/T</t>
        </is>
      </c>
      <c r="E379" s="2" t="n">
        <v>4</v>
      </c>
      <c r="F379" s="2" t="n">
        <v>12</v>
      </c>
      <c r="G379" s="2" t="n">
        <v>1.2</v>
      </c>
      <c r="H379" s="2" t="n">
        <v>0.5</v>
      </c>
      <c r="I379" s="2" t="n">
        <v>8</v>
      </c>
      <c r="J379" s="2" t="inlineStr">
        <is>
          <t>TitLowCost</t>
        </is>
      </c>
      <c r="K379" s="2" t="n">
        <v>88</v>
      </c>
      <c r="L379" s="2" t="n">
        <v>6.27</v>
      </c>
      <c r="M379" s="2" t="n">
        <v>0</v>
      </c>
      <c r="N379" s="2" t="inlineStr">
        <is>
          <t>T</t>
        </is>
      </c>
      <c r="O379" s="2" t="n">
        <v>1</v>
      </c>
      <c r="P379" s="2" t="inlineStr">
        <is>
          <t>🔴 Infortunato/Dubbio</t>
        </is>
      </c>
    </row>
    <row r="380">
      <c r="A380" s="2" t="inlineStr">
        <is>
          <t>Cataldi</t>
        </is>
      </c>
      <c r="B380" s="2" t="inlineStr">
        <is>
          <t>Lazio</t>
        </is>
      </c>
      <c r="C380" s="2" t="inlineStr">
        <is>
          <t>C</t>
        </is>
      </c>
      <c r="D380" s="2" t="inlineStr">
        <is>
          <t>M/C</t>
        </is>
      </c>
      <c r="E380" s="2" t="n">
        <v>4</v>
      </c>
      <c r="F380" s="2" t="n">
        <v>12</v>
      </c>
      <c r="G380" s="2" t="n">
        <v>0.95</v>
      </c>
      <c r="H380" s="2" t="n">
        <v>0.5</v>
      </c>
      <c r="I380" s="2" t="n">
        <v>8</v>
      </c>
      <c r="J380" s="2" t="inlineStr">
        <is>
          <t>Jolly</t>
        </is>
      </c>
      <c r="K380" s="2" t="n">
        <v>72</v>
      </c>
      <c r="L380" s="2" t="n">
        <v>6.27</v>
      </c>
      <c r="M380" s="2" t="n">
        <v>0</v>
      </c>
      <c r="N380" s="2" t="inlineStr">
        <is>
          <t>P</t>
        </is>
      </c>
      <c r="O380" s="2" t="n">
        <v>1</v>
      </c>
      <c r="P380" s="2" t="inlineStr">
        <is>
          <t>🔴 Infortunato/Dubbio</t>
        </is>
      </c>
    </row>
    <row r="381">
      <c r="A381" s="2" t="inlineStr">
        <is>
          <t>Cichella</t>
        </is>
      </c>
      <c r="B381" s="2" t="inlineStr">
        <is>
          <t>Frosinone</t>
        </is>
      </c>
      <c r="C381" s="2" t="inlineStr">
        <is>
          <t>C</t>
        </is>
      </c>
      <c r="D381" s="2" t="inlineStr">
        <is>
          <t>M/C</t>
        </is>
      </c>
      <c r="E381" s="2" t="n">
        <v>4</v>
      </c>
      <c r="F381" s="2" t="n">
        <v>12</v>
      </c>
      <c r="G381" s="2" t="n">
        <v>0.85</v>
      </c>
      <c r="H381" s="2" t="n">
        <v>0.5</v>
      </c>
      <c r="I381" s="2" t="n">
        <v>8</v>
      </c>
      <c r="J381" s="2" t="inlineStr">
        <is>
          <t>TitLowCost</t>
        </is>
      </c>
      <c r="K381" s="2" t="n">
        <v>88</v>
      </c>
      <c r="L381" s="2" t="n">
        <v>6.01</v>
      </c>
      <c r="M381" s="2" t="n">
        <v>0</v>
      </c>
      <c r="N381" s="2" t="inlineStr">
        <is>
          <t>B</t>
        </is>
      </c>
      <c r="O381" s="2" t="n">
        <v>1</v>
      </c>
      <c r="P381" s="2" t="inlineStr">
        <is>
          <t>🟡 Ballottaggio</t>
        </is>
      </c>
    </row>
    <row r="382">
      <c r="A382" s="2" t="inlineStr">
        <is>
          <t>De Roon</t>
        </is>
      </c>
      <c r="B382" s="2" t="inlineStr">
        <is>
          <t>Roma</t>
        </is>
      </c>
      <c r="C382" s="2" t="inlineStr">
        <is>
          <t>C</t>
        </is>
      </c>
      <c r="D382" s="2" t="inlineStr">
        <is>
          <t>M/C</t>
        </is>
      </c>
      <c r="E382" s="2" t="n">
        <v>4</v>
      </c>
      <c r="F382" s="2" t="n">
        <v>10</v>
      </c>
      <c r="G382" s="2" t="n">
        <v>1.8</v>
      </c>
      <c r="H382" s="2" t="n">
        <v>0.5</v>
      </c>
      <c r="I382" s="2" t="n">
        <v>8</v>
      </c>
      <c r="J382" s="2" t="inlineStr">
        <is>
          <t>TitLowCost</t>
        </is>
      </c>
      <c r="K382" s="2" t="n">
        <v>80</v>
      </c>
      <c r="L382" s="2" t="n">
        <v>6.25</v>
      </c>
      <c r="M382" s="2" t="n">
        <v>0</v>
      </c>
      <c r="N382" s="2" t="inlineStr">
        <is>
          <t>P</t>
        </is>
      </c>
      <c r="O382" s="2" t="n">
        <v>1</v>
      </c>
      <c r="P382" s="2" t="inlineStr">
        <is>
          <t>Normale</t>
        </is>
      </c>
    </row>
    <row r="383">
      <c r="A383" s="2" t="inlineStr">
        <is>
          <t>Dominguez B.</t>
        </is>
      </c>
      <c r="B383" s="2" t="inlineStr">
        <is>
          <t>Sassuolo</t>
        </is>
      </c>
      <c r="C383" s="2" t="inlineStr">
        <is>
          <t>C</t>
        </is>
      </c>
      <c r="D383" s="2" t="inlineStr">
        <is>
          <t>W/A</t>
        </is>
      </c>
      <c r="E383" s="2" t="n">
        <v>4</v>
      </c>
      <c r="F383" s="2" t="n">
        <v>12</v>
      </c>
      <c r="G383" s="2" t="n">
        <v>1.2</v>
      </c>
      <c r="H383" s="2" t="n">
        <v>0.5</v>
      </c>
      <c r="I383" s="2" t="n">
        <v>8</v>
      </c>
      <c r="J383" s="2" t="inlineStr">
        <is>
          <t>TitLowCost</t>
        </is>
      </c>
      <c r="K383" s="2" t="n">
        <v>78</v>
      </c>
      <c r="L383" s="2" t="n">
        <v>6.37</v>
      </c>
      <c r="M383" s="2" t="n">
        <v>0</v>
      </c>
      <c r="N383" s="2" t="inlineStr">
        <is>
          <t>P</t>
        </is>
      </c>
      <c r="O383" s="2" t="n">
        <v>1</v>
      </c>
      <c r="P383" s="2" t="inlineStr">
        <is>
          <t>Normale</t>
        </is>
      </c>
    </row>
    <row r="384">
      <c r="A384" s="2" t="inlineStr">
        <is>
          <t>Douglas Luiz</t>
        </is>
      </c>
      <c r="B384" s="2" t="inlineStr">
        <is>
          <t>Juventus</t>
        </is>
      </c>
      <c r="C384" s="2" t="inlineStr">
        <is>
          <t>C</t>
        </is>
      </c>
      <c r="D384" s="2" t="inlineStr">
        <is>
          <t>C</t>
        </is>
      </c>
      <c r="E384" s="2" t="n">
        <v>4</v>
      </c>
      <c r="F384" s="2" t="n">
        <v>15</v>
      </c>
      <c r="G384" s="2" t="n">
        <v>4.1</v>
      </c>
      <c r="H384" s="2" t="n">
        <v>0.5</v>
      </c>
      <c r="I384" s="2" t="n">
        <v>8</v>
      </c>
      <c r="J384" s="2" t="inlineStr">
        <is>
          <t>TitLowCost</t>
        </is>
      </c>
      <c r="K384" s="2" t="n">
        <v>76</v>
      </c>
      <c r="L384" s="2" t="n">
        <v>6.4</v>
      </c>
      <c r="M384" s="2" t="n">
        <v>0</v>
      </c>
      <c r="N384" s="2" t="inlineStr">
        <is>
          <t>P</t>
        </is>
      </c>
      <c r="O384" s="2" t="n">
        <v>3</v>
      </c>
      <c r="P384" s="2" t="inlineStr">
        <is>
          <t>Normale</t>
        </is>
      </c>
    </row>
    <row r="385">
      <c r="A385" s="2" t="inlineStr">
        <is>
          <t>Fabbian</t>
        </is>
      </c>
      <c r="B385" s="2" t="inlineStr">
        <is>
          <t>Parma</t>
        </is>
      </c>
      <c r="C385" s="2" t="inlineStr">
        <is>
          <t>C</t>
        </is>
      </c>
      <c r="D385" s="2" t="inlineStr">
        <is>
          <t>C/T</t>
        </is>
      </c>
      <c r="E385" s="2" t="n">
        <v>4</v>
      </c>
      <c r="F385" s="2" t="n">
        <v>8</v>
      </c>
      <c r="G385" s="2" t="n">
        <v>1.35</v>
      </c>
      <c r="H385" s="2" t="n">
        <v>0.5</v>
      </c>
      <c r="I385" s="2" t="n">
        <v>8</v>
      </c>
      <c r="J385" s="2" t="inlineStr">
        <is>
          <t>TitLowCost</t>
        </is>
      </c>
      <c r="K385" s="2" t="n">
        <v>86</v>
      </c>
      <c r="L385" s="2" t="n">
        <v>6.39</v>
      </c>
      <c r="M385" s="2" t="n">
        <v>0</v>
      </c>
      <c r="N385" s="2" t="inlineStr">
        <is>
          <t>B</t>
        </is>
      </c>
      <c r="O385" s="2" t="n">
        <v>1</v>
      </c>
      <c r="P385" s="2" t="inlineStr">
        <is>
          <t>🟡 Ballottaggio</t>
        </is>
      </c>
    </row>
    <row r="386">
      <c r="A386" s="2" t="inlineStr">
        <is>
          <t>Fini</t>
        </is>
      </c>
      <c r="B386" s="2" t="inlineStr">
        <is>
          <t>Frosinone</t>
        </is>
      </c>
      <c r="C386" s="2" t="inlineStr">
        <is>
          <t>C</t>
        </is>
      </c>
      <c r="D386" s="2" t="inlineStr">
        <is>
          <t>W</t>
        </is>
      </c>
      <c r="E386" s="2" t="n">
        <v>4</v>
      </c>
      <c r="F386" s="2" t="n">
        <v>13</v>
      </c>
      <c r="G386" s="2" t="n">
        <v>1</v>
      </c>
      <c r="H386" s="2" t="n">
        <v>0.5</v>
      </c>
      <c r="I386" s="2" t="n">
        <v>8</v>
      </c>
      <c r="J386" s="2" t="inlineStr">
        <is>
          <t>TitLowCost</t>
        </is>
      </c>
      <c r="K386" s="2" t="n">
        <v>88</v>
      </c>
      <c r="L386" s="2" t="n">
        <v>6.1</v>
      </c>
      <c r="M386" s="2" t="n">
        <v>0</v>
      </c>
      <c r="N386" s="2" t="inlineStr">
        <is>
          <t>B</t>
        </is>
      </c>
      <c r="O386" s="2" t="n">
        <v>1</v>
      </c>
      <c r="P386" s="2" t="inlineStr">
        <is>
          <t>🟡 Ballottaggio</t>
        </is>
      </c>
    </row>
    <row r="387">
      <c r="A387" s="2" t="inlineStr">
        <is>
          <t>Folorunsho</t>
        </is>
      </c>
      <c r="B387" s="2" t="inlineStr">
        <is>
          <t>Monza</t>
        </is>
      </c>
      <c r="C387" s="2" t="inlineStr">
        <is>
          <t>C</t>
        </is>
      </c>
      <c r="D387" s="2" t="inlineStr">
        <is>
          <t>C/T</t>
        </is>
      </c>
      <c r="E387" s="2" t="n">
        <v>4</v>
      </c>
      <c r="F387" s="2" t="n">
        <v>17</v>
      </c>
      <c r="G387" s="2" t="n">
        <v>1.35</v>
      </c>
      <c r="H387" s="2" t="n">
        <v>0.5</v>
      </c>
      <c r="I387" s="2" t="n">
        <v>8</v>
      </c>
      <c r="J387" s="2" t="inlineStr">
        <is>
          <t>TitLowCost</t>
        </is>
      </c>
      <c r="K387" s="2" t="n">
        <v>86</v>
      </c>
      <c r="L387" s="2" t="n">
        <v>6.2</v>
      </c>
      <c r="M387" s="2" t="n">
        <v>0</v>
      </c>
      <c r="N387" s="2" t="inlineStr">
        <is>
          <t>B</t>
        </is>
      </c>
      <c r="O387" s="2" t="n">
        <v>1</v>
      </c>
      <c r="P387" s="2" t="inlineStr">
        <is>
          <t>🟡 Ballottaggio</t>
        </is>
      </c>
    </row>
    <row r="388">
      <c r="A388" s="2" t="inlineStr">
        <is>
          <t>Gandelman</t>
        </is>
      </c>
      <c r="B388" s="2" t="inlineStr">
        <is>
          <t>Lecce</t>
        </is>
      </c>
      <c r="C388" s="2" t="inlineStr">
        <is>
          <t>C</t>
        </is>
      </c>
      <c r="D388" s="2" t="inlineStr">
        <is>
          <t>C/T</t>
        </is>
      </c>
      <c r="E388" s="2" t="n">
        <v>4</v>
      </c>
      <c r="F388" s="2" t="n">
        <v>10</v>
      </c>
      <c r="G388" s="2" t="n">
        <v>1</v>
      </c>
      <c r="H388" s="2" t="n">
        <v>0.5</v>
      </c>
      <c r="I388" s="2" t="n">
        <v>8</v>
      </c>
      <c r="J388" s="2" t="inlineStr">
        <is>
          <t>Jolly</t>
        </is>
      </c>
      <c r="K388" s="2" t="n">
        <v>72</v>
      </c>
      <c r="L388" s="2" t="n">
        <v>6.11</v>
      </c>
      <c r="M388" s="2" t="n">
        <v>0</v>
      </c>
      <c r="N388" s="2" t="inlineStr">
        <is>
          <t>P</t>
        </is>
      </c>
      <c r="O388" s="2" t="n">
        <v>1</v>
      </c>
      <c r="P388" s="2" t="inlineStr">
        <is>
          <t>Normale</t>
        </is>
      </c>
    </row>
    <row r="389">
      <c r="A389" s="2" t="inlineStr">
        <is>
          <t>Grillitsch</t>
        </is>
      </c>
      <c r="B389" s="2" t="inlineStr">
        <is>
          <t>Frosinone</t>
        </is>
      </c>
      <c r="C389" s="2" t="inlineStr">
        <is>
          <t>C</t>
        </is>
      </c>
      <c r="D389" s="2" t="inlineStr">
        <is>
          <t>M/C</t>
        </is>
      </c>
      <c r="E389" s="2" t="n">
        <v>4</v>
      </c>
      <c r="F389" s="2" t="n">
        <v>10</v>
      </c>
      <c r="G389" s="2" t="n">
        <v>1</v>
      </c>
      <c r="H389" s="2" t="n">
        <v>0.5</v>
      </c>
      <c r="I389" s="2" t="n">
        <v>8</v>
      </c>
      <c r="J389" s="2" t="inlineStr">
        <is>
          <t>TitLowCost</t>
        </is>
      </c>
      <c r="K389" s="2" t="n">
        <v>80</v>
      </c>
      <c r="L389" s="2" t="n">
        <v>5.97</v>
      </c>
      <c r="M389" s="2" t="n">
        <v>0</v>
      </c>
      <c r="N389" s="2" t="inlineStr">
        <is>
          <t>P</t>
        </is>
      </c>
      <c r="O389" s="2" t="n">
        <v>1</v>
      </c>
      <c r="P389" s="2" t="inlineStr">
        <is>
          <t>Normale</t>
        </is>
      </c>
    </row>
    <row r="390">
      <c r="A390" s="2" t="inlineStr">
        <is>
          <t>Ilkhan</t>
        </is>
      </c>
      <c r="B390" s="2" t="inlineStr">
        <is>
          <t>Torino</t>
        </is>
      </c>
      <c r="C390" s="2" t="inlineStr">
        <is>
          <t>C</t>
        </is>
      </c>
      <c r="D390" s="2" t="inlineStr">
        <is>
          <t>M/C</t>
        </is>
      </c>
      <c r="E390" s="2" t="n">
        <v>4</v>
      </c>
      <c r="F390" s="2" t="n">
        <v>8</v>
      </c>
      <c r="G390" s="2" t="n">
        <v>0.5</v>
      </c>
      <c r="H390" s="2" t="n">
        <v>0.5</v>
      </c>
      <c r="I390" s="2" t="n">
        <v>8</v>
      </c>
      <c r="J390" s="2" t="inlineStr">
        <is>
          <t>Jolly</t>
        </is>
      </c>
      <c r="K390" s="2" t="n">
        <v>70</v>
      </c>
      <c r="L390" s="2" t="n">
        <v>6.06</v>
      </c>
      <c r="M390" s="2" t="n">
        <v>0</v>
      </c>
      <c r="N390" s="2" t="inlineStr">
        <is>
          <t>P</t>
        </is>
      </c>
      <c r="O390" s="2" t="n">
        <v>1</v>
      </c>
      <c r="P390" s="2" t="inlineStr">
        <is>
          <t>Normale</t>
        </is>
      </c>
    </row>
    <row r="391">
      <c r="A391" s="2" t="inlineStr">
        <is>
          <t>Loftus-Cheek</t>
        </is>
      </c>
      <c r="B391" s="2" t="inlineStr">
        <is>
          <t>Milan</t>
        </is>
      </c>
      <c r="C391" s="2" t="inlineStr">
        <is>
          <t>C</t>
        </is>
      </c>
      <c r="D391" s="2" t="inlineStr">
        <is>
          <t>C/T</t>
        </is>
      </c>
      <c r="E391" s="2" t="n">
        <v>4</v>
      </c>
      <c r="F391" s="2" t="n">
        <v>16</v>
      </c>
      <c r="G391" s="2" t="n">
        <v>1.9</v>
      </c>
      <c r="H391" s="2" t="n">
        <v>0.5</v>
      </c>
      <c r="I391" s="2" t="n">
        <v>8</v>
      </c>
      <c r="J391" s="2" t="inlineStr">
        <is>
          <t>Jolly</t>
        </is>
      </c>
      <c r="K391" s="2" t="n">
        <v>72</v>
      </c>
      <c r="L391" s="2" t="n">
        <v>6.15</v>
      </c>
      <c r="M391" s="2" t="n">
        <v>0</v>
      </c>
      <c r="N391" s="2" t="inlineStr">
        <is>
          <t>P</t>
        </is>
      </c>
      <c r="O391" s="2" t="n">
        <v>1</v>
      </c>
      <c r="P391" s="2" t="inlineStr">
        <is>
          <t>Normale</t>
        </is>
      </c>
    </row>
    <row r="392">
      <c r="A392" s="2" t="inlineStr">
        <is>
          <t>Massolin</t>
        </is>
      </c>
      <c r="B392" s="2" t="inlineStr">
        <is>
          <t>Cagliari</t>
        </is>
      </c>
      <c r="C392" s="2" t="inlineStr">
        <is>
          <t>C</t>
        </is>
      </c>
      <c r="D392" s="2" t="inlineStr">
        <is>
          <t>C/T</t>
        </is>
      </c>
      <c r="E392" s="2" t="n">
        <v>4</v>
      </c>
      <c r="F392" s="2" t="n">
        <v>12</v>
      </c>
      <c r="G392" s="2" t="n">
        <v>1.1</v>
      </c>
      <c r="H392" s="2" t="n">
        <v>0.5</v>
      </c>
      <c r="I392" s="2" t="n">
        <v>8</v>
      </c>
      <c r="J392" s="2" t="inlineStr">
        <is>
          <t>Riserva</t>
        </is>
      </c>
      <c r="K392" s="2" t="n">
        <v>60</v>
      </c>
      <c r="L392" s="2" t="n">
        <v>6.17</v>
      </c>
      <c r="M392" s="2" t="n">
        <v>0</v>
      </c>
      <c r="N392" s="2" t="inlineStr">
        <is>
          <t>P</t>
        </is>
      </c>
      <c r="O392" s="2" t="n">
        <v>1</v>
      </c>
      <c r="P392" s="2" t="inlineStr">
        <is>
          <t>🪑 Riserva Fissa (da fasciaFc)</t>
        </is>
      </c>
    </row>
    <row r="393">
      <c r="A393" s="2" t="inlineStr">
        <is>
          <t>Messias</t>
        </is>
      </c>
      <c r="B393" s="2" t="inlineStr">
        <is>
          <t>Genoa</t>
        </is>
      </c>
      <c r="C393" s="2" t="inlineStr">
        <is>
          <t>C</t>
        </is>
      </c>
      <c r="D393" s="2" t="inlineStr">
        <is>
          <t>W/T</t>
        </is>
      </c>
      <c r="E393" s="2" t="n">
        <v>4</v>
      </c>
      <c r="F393" s="2" t="n">
        <v>8</v>
      </c>
      <c r="G393" s="2" t="n">
        <v>1.05</v>
      </c>
      <c r="H393" s="2" t="n">
        <v>0.5</v>
      </c>
      <c r="I393" s="2" t="n">
        <v>8</v>
      </c>
      <c r="J393" s="2" t="inlineStr">
        <is>
          <t>Riserva</t>
        </is>
      </c>
      <c r="K393" s="2" t="n">
        <v>64</v>
      </c>
      <c r="L393" s="2" t="n">
        <v>6.24</v>
      </c>
      <c r="M393" s="2" t="n">
        <v>0</v>
      </c>
      <c r="N393" s="2" t="inlineStr">
        <is>
          <t>P</t>
        </is>
      </c>
      <c r="O393" s="2" t="n">
        <v>1</v>
      </c>
      <c r="P393" s="2" t="inlineStr">
        <is>
          <t>🪑 Riserva Fissa (da fasciaFc)</t>
        </is>
      </c>
    </row>
    <row r="394">
      <c r="A394" s="2" t="inlineStr">
        <is>
          <t>Miller L.</t>
        </is>
      </c>
      <c r="B394" s="2" t="inlineStr">
        <is>
          <t>Udinese</t>
        </is>
      </c>
      <c r="C394" s="2" t="inlineStr">
        <is>
          <t>C</t>
        </is>
      </c>
      <c r="D394" s="2" t="inlineStr">
        <is>
          <t>M/C</t>
        </is>
      </c>
      <c r="E394" s="2" t="n">
        <v>4</v>
      </c>
      <c r="F394" s="2" t="n">
        <v>12</v>
      </c>
      <c r="G394" s="2" t="n">
        <v>1.1</v>
      </c>
      <c r="H394" s="2" t="n">
        <v>0.5</v>
      </c>
      <c r="I394" s="2" t="n">
        <v>8</v>
      </c>
      <c r="J394" s="2" t="inlineStr">
        <is>
          <t>TitLowCost</t>
        </is>
      </c>
      <c r="K394" s="2" t="n">
        <v>80</v>
      </c>
      <c r="L394" s="2" t="n">
        <v>6.26</v>
      </c>
      <c r="M394" s="2" t="n">
        <v>0</v>
      </c>
      <c r="N394" s="2" t="inlineStr">
        <is>
          <t>B</t>
        </is>
      </c>
      <c r="O394" s="2" t="n">
        <v>1</v>
      </c>
      <c r="P394" s="2" t="inlineStr">
        <is>
          <t>🟡 Ballottaggio</t>
        </is>
      </c>
    </row>
    <row r="395">
      <c r="A395" s="2" t="inlineStr">
        <is>
          <t>Mkhitaryan</t>
        </is>
      </c>
      <c r="B395" s="2" t="inlineStr">
        <is>
          <t>Inter</t>
        </is>
      </c>
      <c r="C395" s="2" t="inlineStr">
        <is>
          <t>C</t>
        </is>
      </c>
      <c r="D395" s="2" t="inlineStr">
        <is>
          <t>C</t>
        </is>
      </c>
      <c r="E395" s="2" t="n">
        <v>4</v>
      </c>
      <c r="F395" s="2" t="n">
        <v>9</v>
      </c>
      <c r="G395" s="2" t="n">
        <v>1.2</v>
      </c>
      <c r="H395" s="2" t="n">
        <v>0.5</v>
      </c>
      <c r="I395" s="2" t="n">
        <v>8</v>
      </c>
      <c r="J395" s="2" t="inlineStr">
        <is>
          <t>Riserva</t>
        </is>
      </c>
      <c r="K395" s="2" t="n">
        <v>60</v>
      </c>
      <c r="L395" s="2" t="n">
        <v>6.28</v>
      </c>
      <c r="M395" s="2" t="n">
        <v>0</v>
      </c>
      <c r="N395" s="2" t="inlineStr">
        <is>
          <t>P</t>
        </is>
      </c>
      <c r="O395" s="2" t="n">
        <v>1</v>
      </c>
      <c r="P395" s="2" t="inlineStr">
        <is>
          <t>🪑 Riserva Fissa (da fasciaFc)</t>
        </is>
      </c>
    </row>
    <row r="396">
      <c r="A396" s="2" t="inlineStr">
        <is>
          <t>Moro N.</t>
        </is>
      </c>
      <c r="B396" s="2" t="inlineStr">
        <is>
          <t>Bologna</t>
        </is>
      </c>
      <c r="C396" s="2" t="inlineStr">
        <is>
          <t>C</t>
        </is>
      </c>
      <c r="D396" s="2" t="inlineStr">
        <is>
          <t>M/C</t>
        </is>
      </c>
      <c r="E396" s="2" t="n">
        <v>4</v>
      </c>
      <c r="F396" s="2" t="n">
        <v>14</v>
      </c>
      <c r="G396" s="2" t="n">
        <v>0.95</v>
      </c>
      <c r="H396" s="2" t="n">
        <v>0.5</v>
      </c>
      <c r="I396" s="2" t="n">
        <v>8</v>
      </c>
      <c r="J396" s="2" t="inlineStr">
        <is>
          <t>Jolly</t>
        </is>
      </c>
      <c r="K396" s="2" t="n">
        <v>72</v>
      </c>
      <c r="L396" s="2" t="n">
        <v>6.05</v>
      </c>
      <c r="M396" s="2" t="n">
        <v>0</v>
      </c>
      <c r="N396" s="2" t="inlineStr">
        <is>
          <t>P</t>
        </is>
      </c>
      <c r="O396" s="2" t="n">
        <v>1</v>
      </c>
      <c r="P396" s="2" t="inlineStr">
        <is>
          <t>Normale</t>
        </is>
      </c>
    </row>
    <row r="397">
      <c r="A397" s="2" t="inlineStr">
        <is>
          <t>Ngom</t>
        </is>
      </c>
      <c r="B397" s="2" t="inlineStr">
        <is>
          <t>Lecce</t>
        </is>
      </c>
      <c r="C397" s="2" t="inlineStr">
        <is>
          <t>C</t>
        </is>
      </c>
      <c r="D397" s="2" t="inlineStr">
        <is>
          <t>M/C</t>
        </is>
      </c>
      <c r="E397" s="2" t="n">
        <v>4</v>
      </c>
      <c r="F397" s="2" t="n">
        <v>12</v>
      </c>
      <c r="G397" s="2" t="n">
        <v>1</v>
      </c>
      <c r="H397" s="2" t="n">
        <v>0.5</v>
      </c>
      <c r="I397" s="2" t="n">
        <v>8</v>
      </c>
      <c r="J397" s="2" t="inlineStr">
        <is>
          <t>TitLowCost</t>
        </is>
      </c>
      <c r="K397" s="2" t="n">
        <v>80</v>
      </c>
      <c r="L397" s="2" t="n">
        <v>6.16</v>
      </c>
      <c r="M397" s="2" t="n">
        <v>0</v>
      </c>
      <c r="N397" s="2" t="inlineStr">
        <is>
          <t>P</t>
        </is>
      </c>
      <c r="O397" s="2" t="n">
        <v>1</v>
      </c>
      <c r="P397" s="2" t="inlineStr">
        <is>
          <t>Normale</t>
        </is>
      </c>
    </row>
    <row r="398">
      <c r="A398" s="2" t="inlineStr">
        <is>
          <t>Njie</t>
        </is>
      </c>
      <c r="B398" s="2" t="inlineStr">
        <is>
          <t>Fiorentina</t>
        </is>
      </c>
      <c r="C398" s="2" t="inlineStr">
        <is>
          <t>C</t>
        </is>
      </c>
      <c r="D398" s="2" t="inlineStr">
        <is>
          <t>W/A</t>
        </is>
      </c>
      <c r="E398" s="2" t="n">
        <v>4</v>
      </c>
      <c r="F398" s="2" t="n">
        <v>28</v>
      </c>
      <c r="G398" s="2" t="n">
        <v>1.8</v>
      </c>
      <c r="H398" s="2" t="n">
        <v>0.5</v>
      </c>
      <c r="I398" s="2" t="n">
        <v>8</v>
      </c>
      <c r="J398" s="2" t="inlineStr">
        <is>
          <t>TitLowCost</t>
        </is>
      </c>
      <c r="K398" s="2" t="n">
        <v>80</v>
      </c>
      <c r="L398" s="2" t="n">
        <v>6.49</v>
      </c>
      <c r="M398" s="2" t="n">
        <v>0</v>
      </c>
      <c r="N398" s="2" t="inlineStr">
        <is>
          <t>P</t>
        </is>
      </c>
      <c r="O398" s="2" t="n">
        <v>1</v>
      </c>
      <c r="P398" s="2" t="inlineStr">
        <is>
          <t>Normale</t>
        </is>
      </c>
    </row>
    <row r="399">
      <c r="A399" s="2" t="inlineStr">
        <is>
          <t>Ricci S.</t>
        </is>
      </c>
      <c r="B399" s="2" t="inlineStr">
        <is>
          <t>Como</t>
        </is>
      </c>
      <c r="C399" s="2" t="inlineStr">
        <is>
          <t>C</t>
        </is>
      </c>
      <c r="D399" s="2" t="inlineStr">
        <is>
          <t>M/C</t>
        </is>
      </c>
      <c r="E399" s="2" t="n">
        <v>4</v>
      </c>
      <c r="F399" s="2" t="n">
        <v>12</v>
      </c>
      <c r="G399" s="2" t="n">
        <v>1.25</v>
      </c>
      <c r="H399" s="2" t="n">
        <v>0.5</v>
      </c>
      <c r="I399" s="2" t="n">
        <v>8</v>
      </c>
      <c r="J399" s="2" t="inlineStr">
        <is>
          <t>Jolly</t>
        </is>
      </c>
      <c r="K399" s="2" t="n">
        <v>74</v>
      </c>
      <c r="L399" s="2" t="n">
        <v>6.04</v>
      </c>
      <c r="M399" s="2" t="n">
        <v>0</v>
      </c>
      <c r="N399" s="2" t="inlineStr">
        <is>
          <t>P</t>
        </is>
      </c>
      <c r="O399" s="2" t="n">
        <v>1</v>
      </c>
      <c r="P399" s="2" t="inlineStr">
        <is>
          <t>Normale</t>
        </is>
      </c>
    </row>
    <row r="400">
      <c r="A400" s="2" t="inlineStr">
        <is>
          <t>Traorè Hj.</t>
        </is>
      </c>
      <c r="B400" s="2" t="inlineStr">
        <is>
          <t>Genoa</t>
        </is>
      </c>
      <c r="C400" s="2" t="inlineStr">
        <is>
          <t>C</t>
        </is>
      </c>
      <c r="D400" s="2" t="inlineStr">
        <is>
          <t>W/T</t>
        </is>
      </c>
      <c r="E400" s="2" t="n">
        <v>4</v>
      </c>
      <c r="F400" s="2" t="n">
        <v>11</v>
      </c>
      <c r="G400" s="2" t="n">
        <v>1.2</v>
      </c>
      <c r="H400" s="2" t="n">
        <v>0.5</v>
      </c>
      <c r="I400" s="2" t="n">
        <v>8</v>
      </c>
      <c r="J400" s="2" t="inlineStr">
        <is>
          <t>Jolly</t>
        </is>
      </c>
      <c r="K400" s="2" t="n">
        <v>70</v>
      </c>
      <c r="L400" s="2" t="n">
        <v>6.23</v>
      </c>
      <c r="M400" s="2" t="n">
        <v>0</v>
      </c>
      <c r="N400" s="2" t="inlineStr">
        <is>
          <t>P</t>
        </is>
      </c>
      <c r="O400" s="2" t="n">
        <v>1</v>
      </c>
      <c r="P400" s="2" t="inlineStr">
        <is>
          <t>Normale</t>
        </is>
      </c>
    </row>
    <row r="401">
      <c r="A401" s="2" t="inlineStr">
        <is>
          <t>Aboukhlal</t>
        </is>
      </c>
      <c r="B401" s="2" t="inlineStr">
        <is>
          <t>Torino</t>
        </is>
      </c>
      <c r="C401" s="2" t="inlineStr">
        <is>
          <t>C</t>
        </is>
      </c>
      <c r="D401" s="2" t="inlineStr">
        <is>
          <t>W;A</t>
        </is>
      </c>
      <c r="E401" s="2" t="n">
        <v>3</v>
      </c>
      <c r="F401" s="2" t="n">
        <v>5</v>
      </c>
      <c r="G401" s="2" t="n">
        <v>0.9</v>
      </c>
      <c r="H401" s="2" t="n">
        <v>0.5</v>
      </c>
      <c r="I401" s="2" t="n">
        <v>8</v>
      </c>
      <c r="J401" s="2" t="inlineStr">
        <is>
          <t>Riserva</t>
        </is>
      </c>
      <c r="K401" s="2" t="n">
        <v>50</v>
      </c>
      <c r="L401" s="2" t="n">
        <v>6.12</v>
      </c>
      <c r="M401" s="2" t="n">
        <v>0</v>
      </c>
      <c r="N401" s="2" t="inlineStr">
        <is>
          <t>P</t>
        </is>
      </c>
      <c r="O401" s="2" t="n">
        <v>0</v>
      </c>
      <c r="P401" s="2" t="inlineStr">
        <is>
          <t>🪑 Riserva Fissa (da fasciaFc)</t>
        </is>
      </c>
    </row>
    <row r="402">
      <c r="A402" s="2" t="inlineStr">
        <is>
          <t>Brescianini</t>
        </is>
      </c>
      <c r="B402" s="2" t="inlineStr">
        <is>
          <t>Fiorentina</t>
        </is>
      </c>
      <c r="C402" s="2" t="inlineStr">
        <is>
          <t>C</t>
        </is>
      </c>
      <c r="D402" s="2" t="inlineStr">
        <is>
          <t>C/T</t>
        </is>
      </c>
      <c r="E402" s="2" t="n">
        <v>3</v>
      </c>
      <c r="F402" s="2" t="n">
        <v>11</v>
      </c>
      <c r="G402" s="2" t="n">
        <v>1.15</v>
      </c>
      <c r="H402" s="2" t="n">
        <v>0.5</v>
      </c>
      <c r="I402" s="2" t="n">
        <v>8</v>
      </c>
      <c r="J402" s="2" t="inlineStr">
        <is>
          <t>Riserva</t>
        </is>
      </c>
      <c r="K402" s="2" t="n">
        <v>52</v>
      </c>
      <c r="L402" s="2" t="n">
        <v>6.06</v>
      </c>
      <c r="M402" s="2" t="n">
        <v>0</v>
      </c>
      <c r="N402" s="2" t="inlineStr">
        <is>
          <t>P</t>
        </is>
      </c>
      <c r="O402" s="2" t="n">
        <v>1</v>
      </c>
      <c r="P402" s="2" t="inlineStr">
        <is>
          <t>🪑 Riserva Fissa (da fasciaFc)</t>
        </is>
      </c>
    </row>
    <row r="403">
      <c r="A403" s="2" t="inlineStr">
        <is>
          <t>Colombo L.</t>
        </is>
      </c>
      <c r="B403" s="2" t="inlineStr">
        <is>
          <t>Monza</t>
        </is>
      </c>
      <c r="C403" s="2" t="inlineStr">
        <is>
          <t>C</t>
        </is>
      </c>
      <c r="D403" s="2" t="inlineStr">
        <is>
          <t>M/C</t>
        </is>
      </c>
      <c r="E403" s="2" t="n">
        <v>3</v>
      </c>
      <c r="F403" s="2" t="n">
        <v>4</v>
      </c>
      <c r="G403" s="2" t="n">
        <v>1</v>
      </c>
      <c r="H403" s="2" t="n">
        <v>0.5</v>
      </c>
      <c r="I403" s="2" t="n">
        <v>8</v>
      </c>
      <c r="J403" s="2" t="inlineStr">
        <is>
          <t>Jolly</t>
        </is>
      </c>
      <c r="K403" s="2" t="n">
        <v>73</v>
      </c>
      <c r="L403" s="2" t="n">
        <v>5.73</v>
      </c>
      <c r="M403" s="2" t="n">
        <v>0</v>
      </c>
      <c r="N403" s="2" t="inlineStr">
        <is>
          <t>P</t>
        </is>
      </c>
      <c r="O403" s="2" t="n">
        <v>1</v>
      </c>
      <c r="P403" s="2" t="inlineStr">
        <is>
          <t>🔴 Infortunato/Dubbio</t>
        </is>
      </c>
    </row>
    <row r="404">
      <c r="A404" s="2" t="inlineStr">
        <is>
          <t>Deiola</t>
        </is>
      </c>
      <c r="B404" s="2" t="inlineStr">
        <is>
          <t>Cagliari</t>
        </is>
      </c>
      <c r="C404" s="2" t="inlineStr">
        <is>
          <t>C</t>
        </is>
      </c>
      <c r="D404" s="2" t="inlineStr">
        <is>
          <t>M/C</t>
        </is>
      </c>
      <c r="E404" s="2" t="n">
        <v>3</v>
      </c>
      <c r="F404" s="2" t="n">
        <v>8</v>
      </c>
      <c r="G404" s="2" t="n">
        <v>1.15</v>
      </c>
      <c r="H404" s="2" t="n">
        <v>0.5</v>
      </c>
      <c r="I404" s="2" t="n">
        <v>8</v>
      </c>
      <c r="J404" s="2" t="inlineStr">
        <is>
          <t>TitLowCost</t>
        </is>
      </c>
      <c r="K404" s="2" t="n">
        <v>86</v>
      </c>
      <c r="L404" s="2" t="n">
        <v>6.3</v>
      </c>
      <c r="M404" s="2" t="n">
        <v>20</v>
      </c>
      <c r="N404" s="2" t="inlineStr">
        <is>
          <t>B</t>
        </is>
      </c>
      <c r="O404" s="2" t="n">
        <v>1</v>
      </c>
      <c r="P404" s="2" t="inlineStr">
        <is>
          <t>🟡 Ballottaggio</t>
        </is>
      </c>
    </row>
    <row r="405">
      <c r="A405" s="2" t="inlineStr">
        <is>
          <t>Diallo O.</t>
        </is>
      </c>
      <c r="B405" s="2" t="inlineStr">
        <is>
          <t>Parma</t>
        </is>
      </c>
      <c r="C405" s="2" t="inlineStr">
        <is>
          <t>C</t>
        </is>
      </c>
      <c r="D405" s="2" t="inlineStr">
        <is>
          <t>W/A</t>
        </is>
      </c>
      <c r="E405" s="2" t="n">
        <v>3</v>
      </c>
      <c r="F405" s="2" t="n">
        <v>12</v>
      </c>
      <c r="G405" s="2" t="n">
        <v>0.9</v>
      </c>
      <c r="H405" s="2" t="n">
        <v>0.5</v>
      </c>
      <c r="I405" s="2" t="n">
        <v>8</v>
      </c>
      <c r="J405" s="2" t="inlineStr">
        <is>
          <t>TitLowCost</t>
        </is>
      </c>
      <c r="K405" s="2" t="n">
        <v>78</v>
      </c>
      <c r="L405" s="2" t="n">
        <v>6.3</v>
      </c>
      <c r="M405" s="2" t="n">
        <v>0</v>
      </c>
      <c r="N405" s="2" t="inlineStr">
        <is>
          <t>P</t>
        </is>
      </c>
      <c r="O405" s="2" t="n">
        <v>1</v>
      </c>
      <c r="P405" s="2" t="inlineStr">
        <is>
          <t>Normale</t>
        </is>
      </c>
    </row>
    <row r="406">
      <c r="A406" s="2" t="inlineStr">
        <is>
          <t>Fernandez T.</t>
        </is>
      </c>
      <c r="B406" s="2" t="inlineStr">
        <is>
          <t>Venezia</t>
        </is>
      </c>
      <c r="C406" s="2" t="inlineStr">
        <is>
          <t>C</t>
        </is>
      </c>
      <c r="D406" s="2" t="inlineStr">
        <is>
          <t>T/A</t>
        </is>
      </c>
      <c r="E406" s="2" t="n">
        <v>3</v>
      </c>
      <c r="F406" s="2" t="n">
        <v>8</v>
      </c>
      <c r="G406" s="2" t="n">
        <v>1.05</v>
      </c>
      <c r="H406" s="2" t="n">
        <v>0.5</v>
      </c>
      <c r="I406" s="2" t="n">
        <v>8</v>
      </c>
      <c r="J406" s="2" t="inlineStr">
        <is>
          <t>Jolly</t>
        </is>
      </c>
      <c r="K406" s="2" t="n">
        <v>73</v>
      </c>
      <c r="L406" s="2" t="n">
        <v>6.48</v>
      </c>
      <c r="M406" s="2" t="n">
        <v>0</v>
      </c>
      <c r="N406" s="2" t="inlineStr">
        <is>
          <t>B</t>
        </is>
      </c>
      <c r="O406" s="2" t="n">
        <v>1</v>
      </c>
      <c r="P406" s="2" t="inlineStr">
        <is>
          <t>🟡 Ballottaggio</t>
        </is>
      </c>
    </row>
    <row r="407">
      <c r="A407" s="2" t="inlineStr">
        <is>
          <t>Gagliardini</t>
        </is>
      </c>
      <c r="B407" s="2" t="inlineStr">
        <is>
          <t>Cagliari</t>
        </is>
      </c>
      <c r="C407" s="2" t="inlineStr">
        <is>
          <t>C</t>
        </is>
      </c>
      <c r="D407" s="2" t="inlineStr">
        <is>
          <t>M;C</t>
        </is>
      </c>
      <c r="E407" s="2" t="n">
        <v>3</v>
      </c>
      <c r="F407" s="2" t="n">
        <v>8</v>
      </c>
      <c r="G407" s="2" t="n">
        <v>0.75</v>
      </c>
      <c r="H407" s="2" t="n">
        <v>0.5</v>
      </c>
      <c r="I407" s="2" t="n">
        <v>8</v>
      </c>
      <c r="J407" s="2" t="inlineStr">
        <is>
          <t>Riserva</t>
        </is>
      </c>
      <c r="K407" s="2" t="n">
        <v>60</v>
      </c>
      <c r="L407" s="2" t="n">
        <v>5.94</v>
      </c>
      <c r="M407" s="2" t="n">
        <v>0</v>
      </c>
      <c r="N407" s="2" t="inlineStr">
        <is>
          <t>P</t>
        </is>
      </c>
      <c r="O407" s="2" t="n">
        <v>0</v>
      </c>
      <c r="P407" s="2" t="inlineStr">
        <is>
          <t>🪑 Riserva Fissa (da fasciaFc)</t>
        </is>
      </c>
    </row>
    <row r="408">
      <c r="A408" s="2" t="inlineStr">
        <is>
          <t>Gelli F.</t>
        </is>
      </c>
      <c r="B408" s="2" t="inlineStr">
        <is>
          <t>Frosinone</t>
        </is>
      </c>
      <c r="C408" s="2" t="inlineStr">
        <is>
          <t>C</t>
        </is>
      </c>
      <c r="D408" s="2" t="inlineStr">
        <is>
          <t>C;T</t>
        </is>
      </c>
      <c r="E408" s="2" t="n">
        <v>3</v>
      </c>
      <c r="F408" s="2" t="n">
        <v>6</v>
      </c>
      <c r="G408" s="2" t="n">
        <v>0.5</v>
      </c>
      <c r="H408" s="2" t="n">
        <v>0.5</v>
      </c>
      <c r="I408" s="2" t="n">
        <v>8</v>
      </c>
      <c r="J408" s="2" t="inlineStr">
        <is>
          <t>Riserva</t>
        </is>
      </c>
      <c r="K408" s="2" t="n">
        <v>52</v>
      </c>
      <c r="L408" s="2" t="n">
        <v>5.79</v>
      </c>
      <c r="M408" s="2" t="n">
        <v>0</v>
      </c>
      <c r="N408" s="2" t="inlineStr">
        <is>
          <t>P</t>
        </is>
      </c>
      <c r="O408" s="2" t="n">
        <v>0</v>
      </c>
      <c r="P408" s="2" t="inlineStr">
        <is>
          <t>🪑 Riserva Fissa (da fasciaFc)</t>
        </is>
      </c>
    </row>
    <row r="409">
      <c r="A409" s="2" t="inlineStr">
        <is>
          <t>Gilmour</t>
        </is>
      </c>
      <c r="B409" s="2" t="inlineStr">
        <is>
          <t>Napoli</t>
        </is>
      </c>
      <c r="C409" s="2" t="inlineStr">
        <is>
          <t>C</t>
        </is>
      </c>
      <c r="D409" s="2" t="inlineStr">
        <is>
          <t>M/C</t>
        </is>
      </c>
      <c r="E409" s="2" t="n">
        <v>3</v>
      </c>
      <c r="F409" s="2" t="n">
        <v>10</v>
      </c>
      <c r="G409" s="2" t="n">
        <v>0.85</v>
      </c>
      <c r="H409" s="2" t="n">
        <v>0.5</v>
      </c>
      <c r="I409" s="2" t="n">
        <v>8</v>
      </c>
      <c r="J409" s="2" t="inlineStr">
        <is>
          <t>Riserva</t>
        </is>
      </c>
      <c r="K409" s="2" t="n">
        <v>56</v>
      </c>
      <c r="L409" s="2" t="n">
        <v>6.06</v>
      </c>
      <c r="M409" s="2" t="n">
        <v>0</v>
      </c>
      <c r="N409" s="2" t="inlineStr">
        <is>
          <t>P</t>
        </is>
      </c>
      <c r="O409" s="2" t="n">
        <v>1</v>
      </c>
      <c r="P409" s="2" t="inlineStr">
        <is>
          <t>🪑 Riserva Fissa (da fasciaFc)</t>
        </is>
      </c>
    </row>
    <row r="410">
      <c r="A410" s="2" t="inlineStr">
        <is>
          <t>Gorter</t>
        </is>
      </c>
      <c r="B410" s="2" t="inlineStr">
        <is>
          <t>Lecce</t>
        </is>
      </c>
      <c r="C410" s="2" t="inlineStr">
        <is>
          <t>C</t>
        </is>
      </c>
      <c r="D410" s="2" t="inlineStr">
        <is>
          <t>M/C</t>
        </is>
      </c>
      <c r="E410" s="2" t="n">
        <v>3</v>
      </c>
      <c r="F410" s="2" t="n">
        <v>12</v>
      </c>
      <c r="G410" s="2" t="n">
        <v>1.1</v>
      </c>
      <c r="H410" s="2" t="n">
        <v>0.5</v>
      </c>
      <c r="I410" s="2" t="n">
        <v>8</v>
      </c>
      <c r="J410" s="2" t="inlineStr">
        <is>
          <t>TitLowCost</t>
        </is>
      </c>
      <c r="K410" s="2" t="n">
        <v>84</v>
      </c>
      <c r="L410" s="2" t="n">
        <v>6.17</v>
      </c>
      <c r="M410" s="2" t="n">
        <v>0</v>
      </c>
      <c r="N410" s="2" t="inlineStr">
        <is>
          <t>B</t>
        </is>
      </c>
      <c r="O410" s="2" t="n">
        <v>1</v>
      </c>
      <c r="P410" s="2" t="inlineStr">
        <is>
          <t>🟡 Ballottaggio</t>
        </is>
      </c>
    </row>
    <row r="411">
      <c r="A411" s="2" t="inlineStr">
        <is>
          <t>Helgason</t>
        </is>
      </c>
      <c r="B411" s="2" t="inlineStr">
        <is>
          <t>Venezia</t>
        </is>
      </c>
      <c r="C411" s="2" t="inlineStr">
        <is>
          <t>C</t>
        </is>
      </c>
      <c r="D411" s="2" t="inlineStr">
        <is>
          <t>C;T</t>
        </is>
      </c>
      <c r="E411" s="2" t="n">
        <v>3</v>
      </c>
      <c r="F411" s="2" t="n">
        <v>3</v>
      </c>
      <c r="G411" s="2" t="n">
        <v>0.5</v>
      </c>
      <c r="H411" s="2" t="n">
        <v>0.5</v>
      </c>
      <c r="I411" s="2" t="n">
        <v>8</v>
      </c>
      <c r="J411" s="2" t="inlineStr">
        <is>
          <t>TitLowCost</t>
        </is>
      </c>
      <c r="K411" s="2" t="n">
        <v>75</v>
      </c>
      <c r="L411" s="2" t="n">
        <v>5.97</v>
      </c>
      <c r="M411" s="2" t="n">
        <v>0</v>
      </c>
      <c r="N411" s="2" t="inlineStr">
        <is>
          <t>P</t>
        </is>
      </c>
      <c r="O411" s="2" t="n">
        <v>0</v>
      </c>
      <c r="P411" s="2" t="inlineStr">
        <is>
          <t>Normale</t>
        </is>
      </c>
    </row>
    <row r="412">
      <c r="A412" s="2" t="inlineStr">
        <is>
          <t>Maleh</t>
        </is>
      </c>
      <c r="B412" s="2" t="inlineStr">
        <is>
          <t>Lecce</t>
        </is>
      </c>
      <c r="C412" s="2" t="inlineStr">
        <is>
          <t>C</t>
        </is>
      </c>
      <c r="D412" s="2" t="inlineStr">
        <is>
          <t>M/C</t>
        </is>
      </c>
      <c r="E412" s="2" t="n">
        <v>3</v>
      </c>
      <c r="F412" s="2" t="n">
        <v>7</v>
      </c>
      <c r="G412" s="2" t="n">
        <v>1.05</v>
      </c>
      <c r="H412" s="2" t="n">
        <v>0.5</v>
      </c>
      <c r="I412" s="2" t="n">
        <v>8</v>
      </c>
      <c r="J412" s="2" t="inlineStr">
        <is>
          <t>Riserva</t>
        </is>
      </c>
      <c r="K412" s="2" t="n">
        <v>52</v>
      </c>
      <c r="L412" s="2" t="n">
        <v>5.94</v>
      </c>
      <c r="M412" s="2" t="n">
        <v>0</v>
      </c>
      <c r="N412" s="2" t="inlineStr">
        <is>
          <t>P</t>
        </is>
      </c>
      <c r="O412" s="2" t="n">
        <v>1</v>
      </c>
      <c r="P412" s="2" t="inlineStr">
        <is>
          <t>🪑 Riserva Fissa (da fasciaFc)</t>
        </is>
      </c>
    </row>
    <row r="413">
      <c r="A413" s="2" t="inlineStr">
        <is>
          <t>Masini</t>
        </is>
      </c>
      <c r="B413" s="2" t="inlineStr">
        <is>
          <t>Frosinone</t>
        </is>
      </c>
      <c r="C413" s="2" t="inlineStr">
        <is>
          <t>C</t>
        </is>
      </c>
      <c r="D413" s="2" t="inlineStr">
        <is>
          <t>M/C</t>
        </is>
      </c>
      <c r="E413" s="2" t="n">
        <v>3</v>
      </c>
      <c r="F413" s="2" t="n">
        <v>8</v>
      </c>
      <c r="G413" s="2" t="n">
        <v>1.2</v>
      </c>
      <c r="H413" s="2" t="n">
        <v>0.5</v>
      </c>
      <c r="I413" s="2" t="n">
        <v>8</v>
      </c>
      <c r="J413" s="2" t="inlineStr">
        <is>
          <t>TitLowCost</t>
        </is>
      </c>
      <c r="K413" s="2" t="n">
        <v>84</v>
      </c>
      <c r="L413" s="2" t="n">
        <v>5.92</v>
      </c>
      <c r="M413" s="2" t="n">
        <v>0</v>
      </c>
      <c r="N413" s="2" t="inlineStr">
        <is>
          <t>B</t>
        </is>
      </c>
      <c r="O413" s="2" t="n">
        <v>1</v>
      </c>
      <c r="P413" s="2" t="inlineStr">
        <is>
          <t>🟡 Ballottaggio</t>
        </is>
      </c>
    </row>
    <row r="414">
      <c r="A414" s="2" t="inlineStr">
        <is>
          <t>Musah</t>
        </is>
      </c>
      <c r="B414" s="2" t="inlineStr">
        <is>
          <t>Milan</t>
        </is>
      </c>
      <c r="C414" s="2" t="inlineStr">
        <is>
          <t>C</t>
        </is>
      </c>
      <c r="D414" s="2" t="inlineStr">
        <is>
          <t>C/W</t>
        </is>
      </c>
      <c r="E414" s="2" t="n">
        <v>3</v>
      </c>
      <c r="F414" s="2" t="n">
        <v>15</v>
      </c>
      <c r="G414" s="2" t="n">
        <v>1.3</v>
      </c>
      <c r="H414" s="2" t="n">
        <v>0.5</v>
      </c>
      <c r="I414" s="2" t="n">
        <v>8</v>
      </c>
      <c r="J414" s="2" t="inlineStr">
        <is>
          <t>TitLowCost</t>
        </is>
      </c>
      <c r="K414" s="2" t="n">
        <v>86</v>
      </c>
      <c r="L414" s="2" t="n">
        <v>6.28</v>
      </c>
      <c r="M414" s="2" t="n">
        <v>0</v>
      </c>
      <c r="N414" s="2" t="inlineStr">
        <is>
          <t>B</t>
        </is>
      </c>
      <c r="O414" s="2" t="n">
        <v>1</v>
      </c>
      <c r="P414" s="2" t="inlineStr">
        <is>
          <t>🟡 Ballottaggio</t>
        </is>
      </c>
    </row>
    <row r="415">
      <c r="A415" s="2" t="inlineStr">
        <is>
          <t>Ordonez C.</t>
        </is>
      </c>
      <c r="B415" s="2" t="inlineStr">
        <is>
          <t>Parma</t>
        </is>
      </c>
      <c r="C415" s="2" t="inlineStr">
        <is>
          <t>C</t>
        </is>
      </c>
      <c r="D415" s="2" t="inlineStr">
        <is>
          <t>M/C</t>
        </is>
      </c>
      <c r="E415" s="2" t="n">
        <v>3</v>
      </c>
      <c r="F415" s="2" t="n">
        <v>10</v>
      </c>
      <c r="G415" s="2" t="n">
        <v>1.1</v>
      </c>
      <c r="H415" s="2" t="n">
        <v>0.5</v>
      </c>
      <c r="I415" s="2" t="n">
        <v>8</v>
      </c>
      <c r="J415" s="2" t="inlineStr">
        <is>
          <t>TitLowCost</t>
        </is>
      </c>
      <c r="K415" s="2" t="n">
        <v>88</v>
      </c>
      <c r="L415" s="2" t="n">
        <v>6.15</v>
      </c>
      <c r="M415" s="2" t="n">
        <v>0</v>
      </c>
      <c r="N415" s="2" t="inlineStr">
        <is>
          <t>B</t>
        </is>
      </c>
      <c r="O415" s="2" t="n">
        <v>1</v>
      </c>
      <c r="P415" s="2" t="inlineStr">
        <is>
          <t>🟡 Ballottaggio</t>
        </is>
      </c>
    </row>
    <row r="416">
      <c r="A416" s="2" t="inlineStr">
        <is>
          <t>Stankovic A.</t>
        </is>
      </c>
      <c r="B416" s="2" t="inlineStr">
        <is>
          <t>Inter</t>
        </is>
      </c>
      <c r="C416" s="2" t="inlineStr">
        <is>
          <t>C</t>
        </is>
      </c>
      <c r="D416" s="2" t="inlineStr">
        <is>
          <t>M/C</t>
        </is>
      </c>
      <c r="E416" s="2" t="n">
        <v>3</v>
      </c>
      <c r="F416" s="2" t="n">
        <v>7</v>
      </c>
      <c r="G416" s="2" t="n">
        <v>1.25</v>
      </c>
      <c r="H416" s="2" t="n">
        <v>0.5</v>
      </c>
      <c r="I416" s="2" t="n">
        <v>8</v>
      </c>
      <c r="J416" s="2" t="inlineStr">
        <is>
          <t>Jolly</t>
        </is>
      </c>
      <c r="K416" s="2" t="n">
        <v>70</v>
      </c>
      <c r="L416" s="2" t="n">
        <v>6.4</v>
      </c>
      <c r="M416" s="2" t="n">
        <v>0</v>
      </c>
      <c r="N416" s="2" t="inlineStr">
        <is>
          <t>P</t>
        </is>
      </c>
      <c r="O416" s="2" t="n">
        <v>1</v>
      </c>
      <c r="P416" s="2" t="inlineStr">
        <is>
          <t>Normale</t>
        </is>
      </c>
    </row>
    <row r="417">
      <c r="A417" s="2" t="inlineStr">
        <is>
          <t>Sulemana I.</t>
        </is>
      </c>
      <c r="B417" s="2" t="inlineStr">
        <is>
          <t>Sassuolo</t>
        </is>
      </c>
      <c r="C417" s="2" t="inlineStr">
        <is>
          <t>C</t>
        </is>
      </c>
      <c r="D417" s="2" t="inlineStr">
        <is>
          <t>M/C</t>
        </is>
      </c>
      <c r="E417" s="2" t="n">
        <v>3</v>
      </c>
      <c r="F417" s="2" t="n">
        <v>7</v>
      </c>
      <c r="G417" s="2" t="n">
        <v>1.1</v>
      </c>
      <c r="H417" s="2" t="n">
        <v>0.5</v>
      </c>
      <c r="I417" s="2" t="n">
        <v>8</v>
      </c>
      <c r="J417" s="2" t="inlineStr">
        <is>
          <t>Riserva</t>
        </is>
      </c>
      <c r="K417" s="2" t="n">
        <v>52</v>
      </c>
      <c r="L417" s="2" t="n">
        <v>6.02</v>
      </c>
      <c r="M417" s="2" t="n">
        <v>0</v>
      </c>
      <c r="N417" s="2" t="inlineStr">
        <is>
          <t>P</t>
        </is>
      </c>
      <c r="O417" s="2" t="n">
        <v>1</v>
      </c>
      <c r="P417" s="2" t="inlineStr">
        <is>
          <t>🪑 Riserva Fissa (da fasciaFc)</t>
        </is>
      </c>
    </row>
    <row r="418">
      <c r="A418" s="2" t="inlineStr">
        <is>
          <t>Belahyane</t>
        </is>
      </c>
      <c r="B418" s="2" t="inlineStr">
        <is>
          <t>Lazio</t>
        </is>
      </c>
      <c r="C418" s="2" t="inlineStr">
        <is>
          <t>C</t>
        </is>
      </c>
      <c r="D418" s="2" t="inlineStr">
        <is>
          <t>M/C</t>
        </is>
      </c>
      <c r="E418" s="2" t="n">
        <v>2</v>
      </c>
      <c r="F418" s="2" t="n">
        <v>3</v>
      </c>
      <c r="G418" s="2" t="n">
        <v>0.95</v>
      </c>
      <c r="H418" s="2" t="n">
        <v>0.5</v>
      </c>
      <c r="I418" s="2" t="n">
        <v>8</v>
      </c>
      <c r="J418" s="2" t="inlineStr">
        <is>
          <t>Riserva</t>
        </is>
      </c>
      <c r="K418" s="2" t="n">
        <v>52</v>
      </c>
      <c r="L418" s="2" t="n">
        <v>5.97</v>
      </c>
      <c r="M418" s="2" t="n">
        <v>0</v>
      </c>
      <c r="N418" s="2" t="inlineStr">
        <is>
          <t>P</t>
        </is>
      </c>
      <c r="O418" s="2" t="n">
        <v>1</v>
      </c>
      <c r="P418" s="2" t="inlineStr">
        <is>
          <t>🪑 Riserva Fissa (da fasciaFc)</t>
        </is>
      </c>
    </row>
    <row r="419">
      <c r="A419" s="2" t="inlineStr">
        <is>
          <t>Boloca</t>
        </is>
      </c>
      <c r="B419" s="2" t="inlineStr">
        <is>
          <t>Sassuolo</t>
        </is>
      </c>
      <c r="C419" s="2" t="inlineStr">
        <is>
          <t>C</t>
        </is>
      </c>
      <c r="D419" s="2" t="inlineStr">
        <is>
          <t>M/C</t>
        </is>
      </c>
      <c r="E419" s="2" t="n">
        <v>2</v>
      </c>
      <c r="F419" s="2" t="n">
        <v>5</v>
      </c>
      <c r="G419" s="2" t="n">
        <v>0.85</v>
      </c>
      <c r="H419" s="2" t="n">
        <v>0.5</v>
      </c>
      <c r="I419" s="2" t="n">
        <v>8</v>
      </c>
      <c r="J419" s="2" t="inlineStr">
        <is>
          <t>Riserva</t>
        </is>
      </c>
      <c r="K419" s="2" t="n">
        <v>46</v>
      </c>
      <c r="L419" s="2" t="n">
        <v>5.98</v>
      </c>
      <c r="M419" s="2" t="n">
        <v>0</v>
      </c>
      <c r="N419" s="2" t="inlineStr">
        <is>
          <t>P</t>
        </is>
      </c>
      <c r="O419" s="2" t="n">
        <v>1</v>
      </c>
      <c r="P419" s="2" t="inlineStr">
        <is>
          <t>🔴 Infortunato/Dubbio</t>
        </is>
      </c>
    </row>
    <row r="420">
      <c r="A420" s="2" t="inlineStr">
        <is>
          <t>Chakvetadze</t>
        </is>
      </c>
      <c r="B420" s="2" t="inlineStr">
        <is>
          <t>Udinese</t>
        </is>
      </c>
      <c r="C420" s="2" t="inlineStr">
        <is>
          <t>C</t>
        </is>
      </c>
      <c r="D420" s="2" t="inlineStr">
        <is>
          <t>W/T</t>
        </is>
      </c>
      <c r="E420" s="2" t="n">
        <v>2</v>
      </c>
      <c r="F420" s="2" t="n">
        <v>6</v>
      </c>
      <c r="G420" s="2" t="n">
        <v>0.95</v>
      </c>
      <c r="H420" s="2" t="n">
        <v>0.5</v>
      </c>
      <c r="I420" s="2" t="n">
        <v>8</v>
      </c>
      <c r="J420" s="2" t="inlineStr">
        <is>
          <t>Riserva</t>
        </is>
      </c>
      <c r="K420" s="2" t="n">
        <v>61</v>
      </c>
      <c r="L420" s="2" t="n">
        <v>6.1</v>
      </c>
      <c r="M420" s="2" t="n">
        <v>0</v>
      </c>
      <c r="N420" s="2" t="inlineStr">
        <is>
          <t>P</t>
        </is>
      </c>
      <c r="O420" s="2" t="n">
        <v>1</v>
      </c>
      <c r="P420" s="2" t="inlineStr">
        <is>
          <t>🔴 Infortunato/Dubbio</t>
        </is>
      </c>
    </row>
    <row r="421">
      <c r="A421" s="2" t="inlineStr">
        <is>
          <t>Ciurria</t>
        </is>
      </c>
      <c r="B421" s="2" t="inlineStr">
        <is>
          <t>Monza</t>
        </is>
      </c>
      <c r="C421" s="2" t="inlineStr">
        <is>
          <t>C</t>
        </is>
      </c>
      <c r="D421" s="2" t="inlineStr">
        <is>
          <t>E/W</t>
        </is>
      </c>
      <c r="E421" s="2" t="n">
        <v>2</v>
      </c>
      <c r="F421" s="2" t="n">
        <v>6</v>
      </c>
      <c r="G421" s="2" t="n">
        <v>0.95</v>
      </c>
      <c r="H421" s="2" t="n">
        <v>0.5</v>
      </c>
      <c r="I421" s="2" t="n">
        <v>8</v>
      </c>
      <c r="J421" s="2" t="inlineStr">
        <is>
          <t>Riserva</t>
        </is>
      </c>
      <c r="K421" s="2" t="n">
        <v>64</v>
      </c>
      <c r="L421" s="2" t="n">
        <v>5.86</v>
      </c>
      <c r="M421" s="2" t="n">
        <v>0</v>
      </c>
      <c r="N421" s="2" t="inlineStr">
        <is>
          <t>P</t>
        </is>
      </c>
      <c r="O421" s="2" t="n">
        <v>1</v>
      </c>
      <c r="P421" s="2" t="inlineStr">
        <is>
          <t>🔴 Infortunato/Dubbio</t>
        </is>
      </c>
    </row>
    <row r="422">
      <c r="A422" s="2" t="inlineStr">
        <is>
          <t>Cremaschi</t>
        </is>
      </c>
      <c r="B422" s="2" t="inlineStr">
        <is>
          <t>Parma</t>
        </is>
      </c>
      <c r="C422" s="2" t="inlineStr">
        <is>
          <t>C</t>
        </is>
      </c>
      <c r="D422" s="2" t="inlineStr">
        <is>
          <t>E/C</t>
        </is>
      </c>
      <c r="E422" s="2" t="n">
        <v>2</v>
      </c>
      <c r="F422" s="2" t="n">
        <v>3</v>
      </c>
      <c r="G422" s="2" t="n">
        <v>0.9</v>
      </c>
      <c r="H422" s="2" t="n">
        <v>0.5</v>
      </c>
      <c r="I422" s="2" t="n">
        <v>8</v>
      </c>
      <c r="J422" s="2" t="inlineStr">
        <is>
          <t>Riserva</t>
        </is>
      </c>
      <c r="K422" s="2" t="n">
        <v>51</v>
      </c>
      <c r="L422" s="2" t="n">
        <v>6.03</v>
      </c>
      <c r="M422" s="2" t="n">
        <v>0</v>
      </c>
      <c r="N422" s="2" t="inlineStr">
        <is>
          <t>P</t>
        </is>
      </c>
      <c r="O422" s="2" t="n">
        <v>1</v>
      </c>
      <c r="P422" s="2" t="inlineStr">
        <is>
          <t>🪑 Riserva Fissa (da fasciaFc)</t>
        </is>
      </c>
    </row>
    <row r="423">
      <c r="A423" s="2" t="inlineStr">
        <is>
          <t>Duncan</t>
        </is>
      </c>
      <c r="B423" s="2" t="inlineStr">
        <is>
          <t>Venezia</t>
        </is>
      </c>
      <c r="C423" s="2" t="inlineStr">
        <is>
          <t>C</t>
        </is>
      </c>
      <c r="D423" s="2" t="inlineStr">
        <is>
          <t>C</t>
        </is>
      </c>
      <c r="E423" s="2" t="n">
        <v>2</v>
      </c>
      <c r="F423" s="2" t="n">
        <v>4</v>
      </c>
      <c r="G423" s="2" t="n">
        <v>1</v>
      </c>
      <c r="H423" s="2" t="n">
        <v>0.5</v>
      </c>
      <c r="I423" s="2" t="n">
        <v>8</v>
      </c>
      <c r="J423" s="2" t="inlineStr">
        <is>
          <t>Riserva</t>
        </is>
      </c>
      <c r="K423" s="2" t="n">
        <v>56</v>
      </c>
      <c r="L423" s="2" t="n">
        <v>5.74</v>
      </c>
      <c r="M423" s="2" t="n">
        <v>0</v>
      </c>
      <c r="N423" s="2" t="inlineStr">
        <is>
          <t>P</t>
        </is>
      </c>
      <c r="O423" s="2" t="n">
        <v>0</v>
      </c>
      <c r="P423" s="2" t="inlineStr">
        <is>
          <t>🪑 Riserva Fissa (da fasciaFc)</t>
        </is>
      </c>
    </row>
    <row r="424">
      <c r="A424" s="2" t="inlineStr">
        <is>
          <t>El Azzouzi O.</t>
        </is>
      </c>
      <c r="B424" s="2" t="inlineStr">
        <is>
          <t>Bologna</t>
        </is>
      </c>
      <c r="C424" s="2" t="inlineStr">
        <is>
          <t>C</t>
        </is>
      </c>
      <c r="D424" s="2" t="inlineStr">
        <is>
          <t>M/C</t>
        </is>
      </c>
      <c r="E424" s="2" t="n">
        <v>2</v>
      </c>
      <c r="F424" s="2" t="n">
        <v>10</v>
      </c>
      <c r="G424" s="2" t="n">
        <v>1</v>
      </c>
      <c r="H424" s="2" t="n">
        <v>0.5</v>
      </c>
      <c r="I424" s="2" t="n">
        <v>8</v>
      </c>
      <c r="J424" s="2" t="inlineStr">
        <is>
          <t>TitLowCost</t>
        </is>
      </c>
      <c r="K424" s="2" t="n">
        <v>79</v>
      </c>
      <c r="L424" s="2" t="n">
        <v>6.19</v>
      </c>
      <c r="M424" s="2" t="n">
        <v>0</v>
      </c>
      <c r="N424" s="2" t="inlineStr">
        <is>
          <t>T</t>
        </is>
      </c>
      <c r="O424" s="2" t="n">
        <v>1</v>
      </c>
      <c r="P424" s="2" t="inlineStr">
        <is>
          <t>🔴 Infortunato/Dubbio</t>
        </is>
      </c>
    </row>
    <row r="425">
      <c r="A425" s="2" t="inlineStr">
        <is>
          <t>Fadera</t>
        </is>
      </c>
      <c r="B425" s="2" t="inlineStr">
        <is>
          <t>Cagliari</t>
        </is>
      </c>
      <c r="C425" s="2" t="inlineStr">
        <is>
          <t>C</t>
        </is>
      </c>
      <c r="D425" s="2" t="inlineStr">
        <is>
          <t>W</t>
        </is>
      </c>
      <c r="E425" s="2" t="n">
        <v>2</v>
      </c>
      <c r="F425" s="2" t="n">
        <v>12</v>
      </c>
      <c r="G425" s="2" t="n">
        <v>1.1</v>
      </c>
      <c r="H425" s="2" t="n">
        <v>0.5</v>
      </c>
      <c r="I425" s="2" t="n">
        <v>8</v>
      </c>
      <c r="J425" s="2" t="inlineStr">
        <is>
          <t>Riserva</t>
        </is>
      </c>
      <c r="K425" s="2" t="n">
        <v>60</v>
      </c>
      <c r="L425" s="2" t="n">
        <v>6.1</v>
      </c>
      <c r="M425" s="2" t="n">
        <v>0</v>
      </c>
      <c r="N425" s="2" t="inlineStr">
        <is>
          <t>P</t>
        </is>
      </c>
      <c r="O425" s="2" t="n">
        <v>1</v>
      </c>
      <c r="P425" s="2" t="inlineStr">
        <is>
          <t>🪑 Riserva Fissa (da fasciaFc)</t>
        </is>
      </c>
    </row>
    <row r="426">
      <c r="A426" s="2" t="inlineStr">
        <is>
          <t>Foe Ondoa</t>
        </is>
      </c>
      <c r="B426" s="2" t="inlineStr">
        <is>
          <t>Monza</t>
        </is>
      </c>
      <c r="C426" s="2" t="inlineStr">
        <is>
          <t>C</t>
        </is>
      </c>
      <c r="D426" s="2" t="inlineStr">
        <is>
          <t>C</t>
        </is>
      </c>
      <c r="E426" s="2" t="n">
        <v>2</v>
      </c>
      <c r="F426" s="2" t="n">
        <v>2</v>
      </c>
      <c r="G426" s="2" t="n">
        <v>0.95</v>
      </c>
      <c r="H426" s="2" t="n">
        <v>0.5</v>
      </c>
      <c r="I426" s="2" t="n">
        <v>8</v>
      </c>
      <c r="J426" s="2" t="inlineStr">
        <is>
          <t>Riserva</t>
        </is>
      </c>
      <c r="K426" s="2" t="n">
        <v>60</v>
      </c>
      <c r="L426" s="2" t="n">
        <v>5.86</v>
      </c>
      <c r="M426" s="2" t="n">
        <v>0</v>
      </c>
      <c r="N426" s="2" t="inlineStr">
        <is>
          <t>P</t>
        </is>
      </c>
      <c r="O426" s="2" t="n">
        <v>0</v>
      </c>
      <c r="P426" s="2" t="inlineStr">
        <is>
          <t>🪑 Riserva Fissa (da fasciaFc)</t>
        </is>
      </c>
    </row>
    <row r="427">
      <c r="A427" s="2" t="inlineStr">
        <is>
          <t>Forson O.</t>
        </is>
      </c>
      <c r="B427" s="2" t="inlineStr">
        <is>
          <t>Monza</t>
        </is>
      </c>
      <c r="C427" s="2" t="inlineStr">
        <is>
          <t>C</t>
        </is>
      </c>
      <c r="D427" s="2" t="inlineStr">
        <is>
          <t>W/T</t>
        </is>
      </c>
      <c r="E427" s="2" t="n">
        <v>2</v>
      </c>
      <c r="F427" s="2" t="n">
        <v>1</v>
      </c>
      <c r="G427" s="2" t="n">
        <v>0.5</v>
      </c>
      <c r="H427" s="2" t="n">
        <v>0.5</v>
      </c>
      <c r="I427" s="2" t="n">
        <v>8</v>
      </c>
      <c r="J427" s="2" t="inlineStr">
        <is>
          <t>Riserva</t>
        </is>
      </c>
      <c r="K427" s="2" t="n">
        <v>54</v>
      </c>
      <c r="L427" s="2" t="n">
        <v>5.79</v>
      </c>
      <c r="M427" s="2" t="n">
        <v>0</v>
      </c>
      <c r="N427" s="2" t="inlineStr">
        <is>
          <t>P</t>
        </is>
      </c>
      <c r="O427" s="2" t="n">
        <v>1</v>
      </c>
      <c r="P427" s="2" t="inlineStr">
        <is>
          <t>🪑 Riserva Fissa (da fasciaFc)</t>
        </is>
      </c>
    </row>
    <row r="428">
      <c r="A428" s="2" t="inlineStr">
        <is>
          <t>Hasa</t>
        </is>
      </c>
      <c r="B428" s="2" t="inlineStr">
        <is>
          <t>Frosinone</t>
        </is>
      </c>
      <c r="C428" s="2" t="inlineStr">
        <is>
          <t>C</t>
        </is>
      </c>
      <c r="D428" s="2" t="inlineStr">
        <is>
          <t>C/T</t>
        </is>
      </c>
      <c r="E428" s="2" t="n">
        <v>2</v>
      </c>
      <c r="F428" s="2" t="n">
        <v>5</v>
      </c>
      <c r="G428" s="2" t="n">
        <v>0.85</v>
      </c>
      <c r="H428" s="2" t="n">
        <v>0.5</v>
      </c>
      <c r="I428" s="2" t="n">
        <v>8</v>
      </c>
      <c r="J428" s="2" t="inlineStr">
        <is>
          <t>Jolly</t>
        </is>
      </c>
      <c r="K428" s="2" t="n">
        <v>70</v>
      </c>
      <c r="L428" s="2" t="n">
        <v>6.04</v>
      </c>
      <c r="M428" s="2" t="n">
        <v>0</v>
      </c>
      <c r="N428" s="2" t="inlineStr">
        <is>
          <t>P</t>
        </is>
      </c>
      <c r="O428" s="2" t="n">
        <v>1</v>
      </c>
      <c r="P428" s="2" t="inlineStr">
        <is>
          <t>Normale</t>
        </is>
      </c>
    </row>
    <row r="429">
      <c r="A429" s="2" t="inlineStr">
        <is>
          <t>Jovanovic</t>
        </is>
      </c>
      <c r="B429" s="2" t="inlineStr">
        <is>
          <t>Udinese</t>
        </is>
      </c>
      <c r="C429" s="2" t="inlineStr">
        <is>
          <t>C</t>
        </is>
      </c>
      <c r="D429" s="2" t="inlineStr">
        <is>
          <t>W;T</t>
        </is>
      </c>
      <c r="E429" s="2" t="n">
        <v>2</v>
      </c>
      <c r="F429" s="2" t="n">
        <v>5</v>
      </c>
      <c r="G429" s="2" t="n">
        <v>0.95</v>
      </c>
      <c r="H429" s="2" t="n">
        <v>0.5</v>
      </c>
      <c r="I429" s="2" t="n">
        <v>8</v>
      </c>
      <c r="J429" s="2" t="inlineStr">
        <is>
          <t>Riserva</t>
        </is>
      </c>
      <c r="K429" s="2" t="n">
        <v>51</v>
      </c>
      <c r="L429" s="2" t="n">
        <v>6.07</v>
      </c>
      <c r="M429" s="2" t="n">
        <v>0</v>
      </c>
      <c r="N429" s="2" t="inlineStr">
        <is>
          <t>P</t>
        </is>
      </c>
      <c r="O429" s="2" t="n">
        <v>0</v>
      </c>
      <c r="P429" s="2" t="inlineStr">
        <is>
          <t>🪑 Riserva Fissa (da fasciaFc)</t>
        </is>
      </c>
    </row>
    <row r="430">
      <c r="A430" s="2" t="inlineStr">
        <is>
          <t>Lipani</t>
        </is>
      </c>
      <c r="B430" s="2" t="inlineStr">
        <is>
          <t>Sassuolo</t>
        </is>
      </c>
      <c r="C430" s="2" t="inlineStr">
        <is>
          <t>C</t>
        </is>
      </c>
      <c r="D430" s="2" t="inlineStr">
        <is>
          <t>M/C</t>
        </is>
      </c>
      <c r="E430" s="2" t="n">
        <v>2</v>
      </c>
      <c r="F430" s="2" t="n">
        <v>5</v>
      </c>
      <c r="G430" s="2" t="n">
        <v>0.95</v>
      </c>
      <c r="H430" s="2" t="n">
        <v>0.5</v>
      </c>
      <c r="I430" s="2" t="n">
        <v>8</v>
      </c>
      <c r="J430" s="2" t="inlineStr">
        <is>
          <t>Riserva</t>
        </is>
      </c>
      <c r="K430" s="2" t="n">
        <v>64</v>
      </c>
      <c r="L430" s="2" t="n">
        <v>5.99</v>
      </c>
      <c r="M430" s="2" t="n">
        <v>0</v>
      </c>
      <c r="N430" s="2" t="inlineStr">
        <is>
          <t>P</t>
        </is>
      </c>
      <c r="O430" s="2" t="n">
        <v>1</v>
      </c>
      <c r="P430" s="2" t="inlineStr">
        <is>
          <t>🪑 Riserva Fissa (da fasciaFc)</t>
        </is>
      </c>
    </row>
    <row r="431">
      <c r="A431" s="2" t="inlineStr">
        <is>
          <t>Venturino</t>
        </is>
      </c>
      <c r="B431" s="2" t="inlineStr">
        <is>
          <t>Genoa</t>
        </is>
      </c>
      <c r="C431" s="2" t="inlineStr">
        <is>
          <t>C</t>
        </is>
      </c>
      <c r="D431" s="2" t="inlineStr">
        <is>
          <t>W</t>
        </is>
      </c>
      <c r="E431" s="2" t="n">
        <v>2</v>
      </c>
      <c r="F431" s="2" t="n">
        <v>4</v>
      </c>
      <c r="G431" s="2" t="n">
        <v>0.5</v>
      </c>
      <c r="H431" s="2" t="n">
        <v>0.5</v>
      </c>
      <c r="I431" s="2" t="n">
        <v>8</v>
      </c>
      <c r="J431" s="2" t="inlineStr">
        <is>
          <t>Riserva</t>
        </is>
      </c>
      <c r="K431" s="2" t="n">
        <v>54</v>
      </c>
      <c r="L431" s="2" t="n">
        <v>6.07</v>
      </c>
      <c r="M431" s="2" t="n">
        <v>0</v>
      </c>
      <c r="N431" s="2" t="inlineStr">
        <is>
          <t>P</t>
        </is>
      </c>
      <c r="O431" s="2" t="n">
        <v>1</v>
      </c>
      <c r="P431" s="2" t="inlineStr">
        <is>
          <t>🔴 Infortunato/Dubbio</t>
        </is>
      </c>
    </row>
    <row r="432">
      <c r="A432" s="2" t="inlineStr">
        <is>
          <t>Zarraga</t>
        </is>
      </c>
      <c r="B432" s="2" t="inlineStr">
        <is>
          <t>Udinese</t>
        </is>
      </c>
      <c r="C432" s="2" t="inlineStr">
        <is>
          <t>C</t>
        </is>
      </c>
      <c r="D432" s="2" t="inlineStr">
        <is>
          <t>M;C</t>
        </is>
      </c>
      <c r="E432" s="2" t="n">
        <v>2</v>
      </c>
      <c r="F432" s="2" t="n">
        <v>4</v>
      </c>
      <c r="G432" s="2" t="n">
        <v>0.75</v>
      </c>
      <c r="H432" s="2" t="n">
        <v>0.5</v>
      </c>
      <c r="I432" s="2" t="n">
        <v>8</v>
      </c>
      <c r="J432" s="2" t="inlineStr">
        <is>
          <t>Riserva</t>
        </is>
      </c>
      <c r="K432" s="2" t="n">
        <v>52</v>
      </c>
      <c r="L432" s="2" t="n">
        <v>5.97</v>
      </c>
      <c r="M432" s="2" t="n">
        <v>0</v>
      </c>
      <c r="N432" s="2" t="inlineStr">
        <is>
          <t>P</t>
        </is>
      </c>
      <c r="O432" s="2" t="n">
        <v>0</v>
      </c>
      <c r="P432" s="2" t="inlineStr">
        <is>
          <t>🪑 Riserva Fissa (da fasciaFc)</t>
        </is>
      </c>
    </row>
    <row r="433">
      <c r="A433" s="2" t="inlineStr">
        <is>
          <t>Ciervo</t>
        </is>
      </c>
      <c r="B433" s="2" t="inlineStr">
        <is>
          <t>Cagliari</t>
        </is>
      </c>
      <c r="C433" s="2" t="inlineStr">
        <is>
          <t>C</t>
        </is>
      </c>
      <c r="D433" s="2" t="inlineStr">
        <is>
          <t>W</t>
        </is>
      </c>
      <c r="E433" s="2" t="n">
        <v>1</v>
      </c>
      <c r="F433" s="2" t="n">
        <v>1</v>
      </c>
      <c r="G433" s="2" t="n">
        <v>0.8</v>
      </c>
      <c r="H433" s="2" t="n">
        <v>0.5</v>
      </c>
      <c r="I433" s="2" t="n">
        <v>8</v>
      </c>
      <c r="J433" s="2" t="inlineStr">
        <is>
          <t>Riserva</t>
        </is>
      </c>
      <c r="K433" s="2" t="n">
        <v>60</v>
      </c>
      <c r="L433" s="2" t="n">
        <v>6.17</v>
      </c>
      <c r="M433" s="2" t="n">
        <v>0</v>
      </c>
      <c r="N433" s="2" t="inlineStr">
        <is>
          <t>P</t>
        </is>
      </c>
      <c r="O433" s="2" t="n">
        <v>0</v>
      </c>
      <c r="P433" s="2" t="inlineStr">
        <is>
          <t>🪑 Riserva Fissa (da fasciaFc)</t>
        </is>
      </c>
    </row>
    <row r="434">
      <c r="A434" s="2" t="inlineStr">
        <is>
          <t>Comotto</t>
        </is>
      </c>
      <c r="B434" s="2" t="inlineStr">
        <is>
          <t>Milan</t>
        </is>
      </c>
      <c r="C434" s="2" t="inlineStr">
        <is>
          <t>C</t>
        </is>
      </c>
      <c r="D434" s="2" t="inlineStr">
        <is>
          <t>M/C</t>
        </is>
      </c>
      <c r="E434" s="2" t="n">
        <v>1</v>
      </c>
      <c r="F434" s="2" t="n">
        <v>1</v>
      </c>
      <c r="G434" s="2" t="n">
        <v>0.8</v>
      </c>
      <c r="H434" s="2" t="n">
        <v>0.5</v>
      </c>
      <c r="I434" s="2" t="n">
        <v>8</v>
      </c>
      <c r="J434" s="2" t="inlineStr">
        <is>
          <t>Riserva</t>
        </is>
      </c>
      <c r="K434" s="2" t="n">
        <v>52</v>
      </c>
      <c r="L434" s="2" t="n">
        <v>6</v>
      </c>
      <c r="M434" s="2" t="n">
        <v>0</v>
      </c>
      <c r="N434" s="2" t="inlineStr">
        <is>
          <t>P</t>
        </is>
      </c>
      <c r="O434" s="2" t="n">
        <v>1</v>
      </c>
      <c r="P434" s="2" t="inlineStr">
        <is>
          <t>🪑 Riserva Fissa (da fasciaFc)</t>
        </is>
      </c>
    </row>
    <row r="435">
      <c r="A435" s="2" t="inlineStr">
        <is>
          <t>Dagasso</t>
        </is>
      </c>
      <c r="B435" s="2" t="inlineStr">
        <is>
          <t>Venezia</t>
        </is>
      </c>
      <c r="C435" s="2" t="inlineStr">
        <is>
          <t>C</t>
        </is>
      </c>
      <c r="D435" s="2" t="inlineStr">
        <is>
          <t>C</t>
        </is>
      </c>
      <c r="E435" s="2" t="n">
        <v>1</v>
      </c>
      <c r="F435" s="2" t="n">
        <v>1</v>
      </c>
      <c r="G435" s="2" t="n">
        <v>0.75</v>
      </c>
      <c r="H435" s="2" t="n">
        <v>0.5</v>
      </c>
      <c r="I435" s="2" t="n">
        <v>8</v>
      </c>
      <c r="J435" s="2" t="inlineStr">
        <is>
          <t>Riserva</t>
        </is>
      </c>
      <c r="K435" s="2" t="n">
        <v>52</v>
      </c>
      <c r="L435" s="2" t="n">
        <v>5.88</v>
      </c>
      <c r="M435" s="2" t="n">
        <v>0</v>
      </c>
      <c r="N435" s="2" t="inlineStr">
        <is>
          <t>P</t>
        </is>
      </c>
      <c r="O435" s="2" t="n">
        <v>1</v>
      </c>
      <c r="P435" s="2" t="inlineStr">
        <is>
          <t>🪑 Riserva Fissa (da fasciaFc)</t>
        </is>
      </c>
    </row>
    <row r="436">
      <c r="A436" s="2" t="inlineStr">
        <is>
          <t>El Azzouzi A.</t>
        </is>
      </c>
      <c r="B436" s="2" t="inlineStr">
        <is>
          <t>Frosinone</t>
        </is>
      </c>
      <c r="C436" s="2" t="inlineStr">
        <is>
          <t>C</t>
        </is>
      </c>
      <c r="D436" s="2" t="inlineStr">
        <is>
          <t>M/C</t>
        </is>
      </c>
      <c r="E436" s="2" t="n">
        <v>1</v>
      </c>
      <c r="F436" s="2" t="n">
        <v>1</v>
      </c>
      <c r="G436" s="2" t="n">
        <v>0.5</v>
      </c>
      <c r="H436" s="2" t="n">
        <v>0.5</v>
      </c>
      <c r="I436" s="2" t="n">
        <v>8</v>
      </c>
      <c r="J436" s="2" t="inlineStr">
        <is>
          <t>Riserva</t>
        </is>
      </c>
      <c r="K436" s="2" t="n">
        <v>52</v>
      </c>
      <c r="L436" s="2" t="n">
        <v>5.71</v>
      </c>
      <c r="M436" s="2" t="n">
        <v>0</v>
      </c>
      <c r="N436" s="2" t="inlineStr">
        <is>
          <t>P</t>
        </is>
      </c>
      <c r="O436" s="2" t="n">
        <v>1</v>
      </c>
      <c r="P436" s="2" t="inlineStr">
        <is>
          <t>🪑 Riserva Fissa (da fasciaFc)</t>
        </is>
      </c>
    </row>
    <row r="437">
      <c r="A437" s="2" t="inlineStr">
        <is>
          <t>Fofana Sa.</t>
        </is>
      </c>
      <c r="B437" s="2" t="inlineStr">
        <is>
          <t>Lecce</t>
        </is>
      </c>
      <c r="C437" s="2" t="inlineStr">
        <is>
          <t>C</t>
        </is>
      </c>
      <c r="D437" s="2" t="inlineStr">
        <is>
          <t>M;C</t>
        </is>
      </c>
      <c r="E437" s="2" t="n">
        <v>1</v>
      </c>
      <c r="F437" s="2" t="n">
        <v>1</v>
      </c>
      <c r="G437" s="2" t="n">
        <v>0.5</v>
      </c>
      <c r="H437" s="2" t="n">
        <v>0.5</v>
      </c>
      <c r="I437" s="2" t="n">
        <v>8</v>
      </c>
      <c r="J437" s="2" t="inlineStr">
        <is>
          <t>Riserva</t>
        </is>
      </c>
      <c r="K437" s="2" t="n">
        <v>51</v>
      </c>
      <c r="L437" s="2" t="n">
        <v>5.82</v>
      </c>
      <c r="M437" s="2" t="n">
        <v>0</v>
      </c>
      <c r="N437" s="2" t="inlineStr">
        <is>
          <t>P</t>
        </is>
      </c>
      <c r="O437" s="2" t="n">
        <v>0</v>
      </c>
      <c r="P437" s="2" t="inlineStr">
        <is>
          <t>🪑 Riserva Fissa (da fasciaFc)</t>
        </is>
      </c>
    </row>
    <row r="438">
      <c r="A438" s="2" t="inlineStr">
        <is>
          <t>Ilic</t>
        </is>
      </c>
      <c r="B438" s="2" t="inlineStr">
        <is>
          <t>Lecce</t>
        </is>
      </c>
      <c r="C438" s="2" t="inlineStr">
        <is>
          <t>C</t>
        </is>
      </c>
      <c r="D438" s="2" t="inlineStr">
        <is>
          <t>M/C</t>
        </is>
      </c>
      <c r="E438" s="2" t="n">
        <v>1</v>
      </c>
      <c r="F438" s="2" t="n">
        <v>10</v>
      </c>
      <c r="G438" s="2" t="n">
        <v>1.2</v>
      </c>
      <c r="H438" s="2" t="n">
        <v>0.5</v>
      </c>
      <c r="I438" s="2" t="n">
        <v>8</v>
      </c>
      <c r="J438" s="2" t="inlineStr">
        <is>
          <t>TitLowCost</t>
        </is>
      </c>
      <c r="K438" s="2" t="n">
        <v>83</v>
      </c>
      <c r="L438" s="2" t="n">
        <v>6.26</v>
      </c>
      <c r="M438" s="2" t="n">
        <v>0</v>
      </c>
      <c r="N438" s="2" t="inlineStr">
        <is>
          <t>B</t>
        </is>
      </c>
      <c r="O438" s="2" t="n">
        <v>1</v>
      </c>
      <c r="P438" s="2" t="inlineStr">
        <is>
          <t>🟡 Ballottaggio</t>
        </is>
      </c>
    </row>
    <row r="439">
      <c r="A439" s="2" t="inlineStr">
        <is>
          <t>Kaba</t>
        </is>
      </c>
      <c r="B439" s="2" t="inlineStr">
        <is>
          <t>Lecce</t>
        </is>
      </c>
      <c r="C439" s="2" t="inlineStr">
        <is>
          <t>C</t>
        </is>
      </c>
      <c r="D439" s="2" t="inlineStr">
        <is>
          <t>M;C</t>
        </is>
      </c>
      <c r="E439" s="2" t="n">
        <v>1</v>
      </c>
      <c r="F439" s="2" t="n">
        <v>2</v>
      </c>
      <c r="G439" s="2" t="n">
        <v>0.5</v>
      </c>
      <c r="H439" s="2" t="n">
        <v>0.5</v>
      </c>
      <c r="I439" s="2" t="n">
        <v>8</v>
      </c>
      <c r="J439" s="2" t="inlineStr">
        <is>
          <t>Riserva</t>
        </is>
      </c>
      <c r="K439" s="2" t="n">
        <v>56</v>
      </c>
      <c r="L439" s="2" t="n">
        <v>6.02</v>
      </c>
      <c r="M439" s="2" t="n">
        <v>0</v>
      </c>
      <c r="N439" s="2" t="inlineStr">
        <is>
          <t>P</t>
        </is>
      </c>
      <c r="O439" s="2" t="n">
        <v>0</v>
      </c>
      <c r="P439" s="2" t="inlineStr">
        <is>
          <t>🪑 Riserva Fissa (da fasciaFc)</t>
        </is>
      </c>
    </row>
    <row r="440">
      <c r="A440" s="2" t="inlineStr">
        <is>
          <t>Kone B.</t>
        </is>
      </c>
      <c r="B440" s="2" t="inlineStr">
        <is>
          <t>Frosinone</t>
        </is>
      </c>
      <c r="C440" s="2" t="inlineStr">
        <is>
          <t>C</t>
        </is>
      </c>
      <c r="D440" s="2" t="inlineStr">
        <is>
          <t>C</t>
        </is>
      </c>
      <c r="E440" s="2" t="n">
        <v>1</v>
      </c>
      <c r="F440" s="2" t="n">
        <v>3</v>
      </c>
      <c r="G440" s="2" t="n">
        <v>0.5</v>
      </c>
      <c r="H440" s="2" t="n">
        <v>0.5</v>
      </c>
      <c r="I440" s="2" t="n">
        <v>8</v>
      </c>
      <c r="J440" s="2" t="inlineStr">
        <is>
          <t>Riserva</t>
        </is>
      </c>
      <c r="K440" s="2" t="n">
        <v>52</v>
      </c>
      <c r="L440" s="2" t="n">
        <v>5.73</v>
      </c>
      <c r="M440" s="2" t="n">
        <v>0</v>
      </c>
      <c r="N440" s="2" t="inlineStr">
        <is>
          <t>P</t>
        </is>
      </c>
      <c r="O440" s="2" t="n">
        <v>0</v>
      </c>
      <c r="P440" s="2" t="inlineStr">
        <is>
          <t>🪑 Riserva Fissa (da fasciaFc)</t>
        </is>
      </c>
    </row>
    <row r="441">
      <c r="A441" s="2" t="inlineStr">
        <is>
          <t>Laerke</t>
        </is>
      </c>
      <c r="B441" s="2" t="inlineStr">
        <is>
          <t>Lecce</t>
        </is>
      </c>
      <c r="C441" s="2" t="inlineStr">
        <is>
          <t>C</t>
        </is>
      </c>
      <c r="D441" s="2" t="inlineStr">
        <is>
          <t>W/A</t>
        </is>
      </c>
      <c r="E441" s="2" t="n">
        <v>1</v>
      </c>
      <c r="F441" s="2" t="n">
        <v>1</v>
      </c>
      <c r="G441" s="2" t="n">
        <v>0.7</v>
      </c>
      <c r="H441" s="2" t="n">
        <v>0.5</v>
      </c>
      <c r="I441" s="2" t="n">
        <v>8</v>
      </c>
      <c r="J441" s="2" t="inlineStr">
        <is>
          <t>Riserva</t>
        </is>
      </c>
      <c r="K441" s="2" t="n">
        <v>52</v>
      </c>
      <c r="L441" s="2" t="n">
        <v>6</v>
      </c>
      <c r="M441" s="2" t="n">
        <v>0</v>
      </c>
      <c r="N441" s="2" t="inlineStr">
        <is>
          <t>P</t>
        </is>
      </c>
      <c r="O441" s="2" t="n">
        <v>1</v>
      </c>
      <c r="P441" s="2" t="inlineStr">
        <is>
          <t>🪑 Riserva Fissa (da fasciaFc)</t>
        </is>
      </c>
    </row>
    <row r="442">
      <c r="A442" s="2" t="inlineStr">
        <is>
          <t>Lahdo</t>
        </is>
      </c>
      <c r="B442" s="2" t="inlineStr">
        <is>
          <t>Como</t>
        </is>
      </c>
      <c r="C442" s="2" t="inlineStr">
        <is>
          <t>C</t>
        </is>
      </c>
      <c r="D442" s="2" t="inlineStr">
        <is>
          <t>C/T</t>
        </is>
      </c>
      <c r="E442" s="2" t="n">
        <v>1</v>
      </c>
      <c r="F442" s="2" t="n">
        <v>1</v>
      </c>
      <c r="G442" s="2" t="n">
        <v>0.75</v>
      </c>
      <c r="H442" s="2" t="n">
        <v>0.5</v>
      </c>
      <c r="I442" s="2" t="n">
        <v>8</v>
      </c>
      <c r="J442" s="2" t="inlineStr">
        <is>
          <t>Riserva</t>
        </is>
      </c>
      <c r="K442" s="2" t="n">
        <v>46</v>
      </c>
      <c r="L442" s="2" t="n">
        <v>6.02</v>
      </c>
      <c r="M442" s="2" t="n">
        <v>0</v>
      </c>
      <c r="N442" s="2" t="inlineStr">
        <is>
          <t>P</t>
        </is>
      </c>
      <c r="O442" s="2" t="n">
        <v>1</v>
      </c>
      <c r="P442" s="2" t="inlineStr">
        <is>
          <t>🟡 Ballottaggio</t>
        </is>
      </c>
    </row>
    <row r="443">
      <c r="A443" s="2" t="inlineStr">
        <is>
          <t>Liteta</t>
        </is>
      </c>
      <c r="B443" s="2" t="inlineStr">
        <is>
          <t>Cagliari</t>
        </is>
      </c>
      <c r="C443" s="2" t="inlineStr">
        <is>
          <t>C</t>
        </is>
      </c>
      <c r="D443" s="2" t="inlineStr">
        <is>
          <t>M;C</t>
        </is>
      </c>
      <c r="E443" s="2" t="n">
        <v>1</v>
      </c>
      <c r="F443" s="2" t="n">
        <v>1</v>
      </c>
      <c r="G443" s="2" t="n">
        <v>0.5</v>
      </c>
      <c r="H443" s="2" t="n">
        <v>0.5</v>
      </c>
      <c r="I443" s="2" t="n">
        <v>8</v>
      </c>
      <c r="J443" s="2" t="inlineStr">
        <is>
          <t>Riserva</t>
        </is>
      </c>
      <c r="K443" s="2" t="n">
        <v>48</v>
      </c>
      <c r="L443" s="2" t="n">
        <v>5.92</v>
      </c>
      <c r="M443" s="2" t="n">
        <v>0</v>
      </c>
      <c r="N443" s="2" t="inlineStr">
        <is>
          <t>P</t>
        </is>
      </c>
      <c r="O443" s="2" t="n">
        <v>0</v>
      </c>
      <c r="P443" s="2" t="inlineStr">
        <is>
          <t>🟡 Ballottaggio</t>
        </is>
      </c>
    </row>
    <row r="444">
      <c r="A444" s="2" t="inlineStr">
        <is>
          <t>Mout</t>
        </is>
      </c>
      <c r="B444" s="2" t="inlineStr">
        <is>
          <t>Monza</t>
        </is>
      </c>
      <c r="C444" s="2" t="inlineStr">
        <is>
          <t>C</t>
        </is>
      </c>
      <c r="D444" s="2" t="inlineStr">
        <is>
          <t>C</t>
        </is>
      </c>
      <c r="E444" s="2" t="n">
        <v>1</v>
      </c>
      <c r="F444" s="2" t="n">
        <v>12</v>
      </c>
      <c r="G444" s="2" t="n">
        <v>0.8</v>
      </c>
      <c r="H444" s="2" t="n">
        <v>0.5</v>
      </c>
      <c r="I444" s="2" t="n">
        <v>8</v>
      </c>
      <c r="J444" s="2" t="inlineStr">
        <is>
          <t>Riserva</t>
        </is>
      </c>
      <c r="K444" s="2" t="n">
        <v>64</v>
      </c>
      <c r="L444" s="2" t="n">
        <v>5.83</v>
      </c>
      <c r="M444" s="2" t="n">
        <v>0</v>
      </c>
      <c r="N444" s="2" t="inlineStr">
        <is>
          <t>P</t>
        </is>
      </c>
      <c r="O444" s="2" t="n">
        <v>1</v>
      </c>
      <c r="P444" s="2" t="inlineStr">
        <is>
          <t>🪑 Riserva Fissa (da fasciaFc)</t>
        </is>
      </c>
    </row>
    <row r="445">
      <c r="A445" s="2" t="inlineStr">
        <is>
          <t>Przyborek</t>
        </is>
      </c>
      <c r="B445" s="2" t="inlineStr">
        <is>
          <t>Lazio</t>
        </is>
      </c>
      <c r="C445" s="2" t="inlineStr">
        <is>
          <t>C</t>
        </is>
      </c>
      <c r="D445" s="2" t="inlineStr">
        <is>
          <t>W;T</t>
        </is>
      </c>
      <c r="E445" s="2" t="n">
        <v>1</v>
      </c>
      <c r="F445" s="2" t="n">
        <v>5</v>
      </c>
      <c r="G445" s="2" t="n">
        <v>0.7</v>
      </c>
      <c r="H445" s="2" t="n">
        <v>0.5</v>
      </c>
      <c r="I445" s="2" t="n">
        <v>8</v>
      </c>
      <c r="J445" s="2" t="inlineStr">
        <is>
          <t>Riserva</t>
        </is>
      </c>
      <c r="K445" s="2" t="n">
        <v>54</v>
      </c>
      <c r="L445" s="2" t="n">
        <v>6.07</v>
      </c>
      <c r="M445" s="2" t="n">
        <v>0</v>
      </c>
      <c r="N445" s="2" t="inlineStr">
        <is>
          <t>P</t>
        </is>
      </c>
      <c r="O445" s="2" t="n">
        <v>1</v>
      </c>
      <c r="P445" s="2" t="inlineStr">
        <is>
          <t>🪑 Riserva Fissa (da fasciaFc)</t>
        </is>
      </c>
    </row>
    <row r="446">
      <c r="A446" s="2" t="inlineStr">
        <is>
          <t>Sierro</t>
        </is>
      </c>
      <c r="B446" s="2" t="inlineStr">
        <is>
          <t>Parma</t>
        </is>
      </c>
      <c r="C446" s="2" t="inlineStr">
        <is>
          <t>C</t>
        </is>
      </c>
      <c r="D446" s="2" t="inlineStr">
        <is>
          <t>M;C</t>
        </is>
      </c>
      <c r="E446" s="2" t="n">
        <v>1</v>
      </c>
      <c r="F446" s="2" t="n">
        <v>1</v>
      </c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>
        <v>0</v>
      </c>
      <c r="P446" s="2" t="inlineStr">
        <is>
          <t>Normale</t>
        </is>
      </c>
    </row>
    <row r="447">
      <c r="A447" s="2" t="inlineStr">
        <is>
          <t>Malen</t>
        </is>
      </c>
      <c r="B447" s="2" t="inlineStr">
        <is>
          <t>Roma</t>
        </is>
      </c>
      <c r="C447" s="2" t="inlineStr">
        <is>
          <t>A</t>
        </is>
      </c>
      <c r="D447" s="2" t="inlineStr">
        <is>
          <t>Pc</t>
        </is>
      </c>
      <c r="E447" s="2" t="n">
        <v>38</v>
      </c>
      <c r="F447" s="2" t="n">
        <v>450</v>
      </c>
      <c r="G447" s="2" t="n">
        <v>210.65</v>
      </c>
      <c r="H447" s="2" t="n">
        <v>219.2</v>
      </c>
      <c r="I447" s="2" t="n">
        <v>1</v>
      </c>
      <c r="J447" s="2" t="inlineStr">
        <is>
          <t>Top</t>
        </is>
      </c>
      <c r="K447" s="2" t="n">
        <v>92</v>
      </c>
      <c r="L447" s="2" t="n">
        <v>7.57</v>
      </c>
      <c r="M447" s="2" t="n">
        <v>20</v>
      </c>
      <c r="N447" s="2" t="inlineStr">
        <is>
          <t>T</t>
        </is>
      </c>
      <c r="O447" s="2" t="n">
        <v>210</v>
      </c>
      <c r="P447" s="2" t="inlineStr">
        <is>
          <t>Normale</t>
        </is>
      </c>
    </row>
    <row r="448">
      <c r="A448" s="2" t="inlineStr">
        <is>
          <t>Martinez L.</t>
        </is>
      </c>
      <c r="B448" s="2" t="inlineStr">
        <is>
          <t>Inter</t>
        </is>
      </c>
      <c r="C448" s="2" t="inlineStr">
        <is>
          <t>A</t>
        </is>
      </c>
      <c r="D448" s="2" t="inlineStr">
        <is>
          <t>Pc</t>
        </is>
      </c>
      <c r="E448" s="2" t="n">
        <v>33</v>
      </c>
      <c r="F448" s="2" t="n">
        <v>361</v>
      </c>
      <c r="G448" s="2" t="n">
        <v>176.1</v>
      </c>
      <c r="H448" s="2" t="n">
        <v>204.5</v>
      </c>
      <c r="I448" s="2" t="n">
        <v>1</v>
      </c>
      <c r="J448" s="2" t="inlineStr">
        <is>
          <t>Top</t>
        </is>
      </c>
      <c r="K448" s="2" t="n">
        <v>92</v>
      </c>
      <c r="L448" s="2" t="n">
        <v>7.53</v>
      </c>
      <c r="M448" s="2" t="n">
        <v>10</v>
      </c>
      <c r="N448" s="2" t="inlineStr">
        <is>
          <t>T</t>
        </is>
      </c>
      <c r="O448" s="2" t="n">
        <v>175</v>
      </c>
      <c r="P448" s="2" t="inlineStr">
        <is>
          <t>Normale</t>
        </is>
      </c>
    </row>
    <row r="449">
      <c r="A449" s="2" t="inlineStr">
        <is>
          <t>Hojlund</t>
        </is>
      </c>
      <c r="B449" s="2" t="inlineStr">
        <is>
          <t>Napoli</t>
        </is>
      </c>
      <c r="C449" s="2" t="inlineStr">
        <is>
          <t>A</t>
        </is>
      </c>
      <c r="D449" s="2" t="inlineStr">
        <is>
          <t>Pc</t>
        </is>
      </c>
      <c r="E449" s="2" t="n">
        <v>28</v>
      </c>
      <c r="F449" s="2" t="n">
        <v>260</v>
      </c>
      <c r="G449" s="2" t="n">
        <v>125.3</v>
      </c>
      <c r="H449" s="2" t="n">
        <v>152.5</v>
      </c>
      <c r="I449" s="2" t="n">
        <v>1</v>
      </c>
      <c r="J449" s="2" t="inlineStr">
        <is>
          <t>Top</t>
        </is>
      </c>
      <c r="K449" s="2" t="n">
        <v>92</v>
      </c>
      <c r="L449" s="2" t="n">
        <v>7.25</v>
      </c>
      <c r="M449" s="2" t="n">
        <v>20</v>
      </c>
      <c r="N449" s="2" t="inlineStr">
        <is>
          <t>T</t>
        </is>
      </c>
      <c r="O449" s="2" t="n">
        <v>125</v>
      </c>
      <c r="P449" s="2" t="inlineStr">
        <is>
          <t>Normale</t>
        </is>
      </c>
    </row>
    <row r="450">
      <c r="A450" s="2" t="inlineStr">
        <is>
          <t>Thuram</t>
        </is>
      </c>
      <c r="B450" s="2" t="inlineStr">
        <is>
          <t>Inter</t>
        </is>
      </c>
      <c r="C450" s="2" t="inlineStr">
        <is>
          <t>A</t>
        </is>
      </c>
      <c r="D450" s="2" t="inlineStr">
        <is>
          <t>Pc</t>
        </is>
      </c>
      <c r="E450" s="2" t="n">
        <v>28</v>
      </c>
      <c r="F450" s="2" t="n">
        <v>249</v>
      </c>
      <c r="G450" s="2" t="n">
        <v>96.7</v>
      </c>
      <c r="H450" s="2" t="n">
        <v>141.85</v>
      </c>
      <c r="I450" s="2" t="n">
        <v>1</v>
      </c>
      <c r="J450" s="2" t="inlineStr">
        <is>
          <t>Semi-Top</t>
        </is>
      </c>
      <c r="K450" s="2" t="n">
        <v>90</v>
      </c>
      <c r="L450" s="2" t="n">
        <v>7.27</v>
      </c>
      <c r="M450" s="2" t="n">
        <v>0</v>
      </c>
      <c r="N450" s="2" t="inlineStr">
        <is>
          <t>T</t>
        </is>
      </c>
      <c r="O450" s="2" t="n">
        <v>100</v>
      </c>
      <c r="P450" s="2" t="inlineStr">
        <is>
          <t>Normale</t>
        </is>
      </c>
    </row>
    <row r="451">
      <c r="A451" s="2" t="inlineStr">
        <is>
          <t>Ramos G.</t>
        </is>
      </c>
      <c r="B451" s="2" t="inlineStr">
        <is>
          <t>Milan</t>
        </is>
      </c>
      <c r="C451" s="2" t="inlineStr">
        <is>
          <t>A</t>
        </is>
      </c>
      <c r="D451" s="2" t="inlineStr">
        <is>
          <t>Pc</t>
        </is>
      </c>
      <c r="E451" s="2" t="n">
        <v>27</v>
      </c>
      <c r="F451" s="2" t="n">
        <v>237</v>
      </c>
      <c r="G451" s="2" t="n">
        <v>141.5</v>
      </c>
      <c r="H451" s="2" t="n">
        <v>162.9</v>
      </c>
      <c r="I451" s="2" t="n">
        <v>1</v>
      </c>
      <c r="J451" s="2" t="inlineStr">
        <is>
          <t>Top</t>
        </is>
      </c>
      <c r="K451" s="2" t="n">
        <v>92</v>
      </c>
      <c r="L451" s="2" t="n">
        <v>7.29</v>
      </c>
      <c r="M451" s="2" t="n">
        <v>70</v>
      </c>
      <c r="N451" s="2" t="inlineStr">
        <is>
          <t>T</t>
        </is>
      </c>
      <c r="O451" s="2" t="n">
        <v>144.5</v>
      </c>
      <c r="P451" s="2" t="inlineStr">
        <is>
          <t>🎯 Rigorista designato</t>
        </is>
      </c>
    </row>
    <row r="452">
      <c r="A452" s="2" t="inlineStr">
        <is>
          <t>Kolo Muani</t>
        </is>
      </c>
      <c r="B452" s="2" t="inlineStr">
        <is>
          <t>Juventus</t>
        </is>
      </c>
      <c r="C452" s="2" t="inlineStr">
        <is>
          <t>A</t>
        </is>
      </c>
      <c r="D452" s="2" t="inlineStr">
        <is>
          <t>Pc</t>
        </is>
      </c>
      <c r="E452" s="2" t="n">
        <v>25</v>
      </c>
      <c r="F452" s="2" t="n">
        <v>165</v>
      </c>
      <c r="G452" s="2" t="n">
        <v>82.65000000000001</v>
      </c>
      <c r="H452" s="2" t="n">
        <v>126.7</v>
      </c>
      <c r="I452" s="2" t="n">
        <v>1</v>
      </c>
      <c r="J452" s="2" t="inlineStr">
        <is>
          <t>Semi-Top</t>
        </is>
      </c>
      <c r="K452" s="2" t="n">
        <v>90</v>
      </c>
      <c r="L452" s="2" t="n">
        <v>7.21</v>
      </c>
      <c r="M452" s="2" t="n">
        <v>70</v>
      </c>
      <c r="N452" s="2" t="inlineStr">
        <is>
          <t>B</t>
        </is>
      </c>
      <c r="O452" s="2" t="n">
        <v>75</v>
      </c>
      <c r="P452" s="2" t="inlineStr">
        <is>
          <t>🎯🟡 Rigorista in Ballottaggio</t>
        </is>
      </c>
    </row>
    <row r="453">
      <c r="A453" s="2" t="inlineStr">
        <is>
          <t>Kean</t>
        </is>
      </c>
      <c r="B453" s="2" t="inlineStr">
        <is>
          <t>Como</t>
        </is>
      </c>
      <c r="C453" s="2" t="inlineStr">
        <is>
          <t>A</t>
        </is>
      </c>
      <c r="D453" s="2" t="inlineStr">
        <is>
          <t>Pc</t>
        </is>
      </c>
      <c r="E453" s="2" t="n">
        <v>24</v>
      </c>
      <c r="F453" s="2" t="n">
        <v>183</v>
      </c>
      <c r="G453" s="2" t="n">
        <v>75</v>
      </c>
      <c r="H453" s="2" t="n">
        <v>102.5</v>
      </c>
      <c r="I453" s="2" t="n">
        <v>1</v>
      </c>
      <c r="J453" s="2" t="inlineStr">
        <is>
          <t>Semi-Top</t>
        </is>
      </c>
      <c r="K453" s="2" t="n">
        <v>84</v>
      </c>
      <c r="L453" s="2" t="n">
        <v>7.22</v>
      </c>
      <c r="M453" s="2" t="n">
        <v>20</v>
      </c>
      <c r="N453" s="2" t="inlineStr">
        <is>
          <t>B</t>
        </is>
      </c>
      <c r="O453" s="2" t="n">
        <v>70</v>
      </c>
      <c r="P453" s="2" t="inlineStr">
        <is>
          <t>🟡 Ballottaggio</t>
        </is>
      </c>
    </row>
    <row r="454">
      <c r="A454" s="2" t="inlineStr">
        <is>
          <t>Woltemade</t>
        </is>
      </c>
      <c r="B454" s="2" t="inlineStr">
        <is>
          <t>Juventus</t>
        </is>
      </c>
      <c r="C454" s="2" t="inlineStr">
        <is>
          <t>A</t>
        </is>
      </c>
      <c r="D454" s="2" t="inlineStr">
        <is>
          <t>A</t>
        </is>
      </c>
      <c r="E454" s="2" t="n">
        <v>23</v>
      </c>
      <c r="F454" s="2" t="n">
        <v>160</v>
      </c>
      <c r="G454" s="2" t="n">
        <v>53.45</v>
      </c>
      <c r="H454" s="2" t="n">
        <v>59.8</v>
      </c>
      <c r="I454" s="2" t="n">
        <v>2</v>
      </c>
      <c r="J454" s="2" t="inlineStr">
        <is>
          <t>Semi-Top</t>
        </is>
      </c>
      <c r="K454" s="2" t="n">
        <v>86</v>
      </c>
      <c r="L454" s="2" t="n">
        <v>6.97</v>
      </c>
      <c r="M454" s="2" t="n">
        <v>20</v>
      </c>
      <c r="N454" s="2" t="inlineStr">
        <is>
          <t>B</t>
        </is>
      </c>
      <c r="O454" s="2" t="n">
        <v>52</v>
      </c>
      <c r="P454" s="2" t="inlineStr">
        <is>
          <t>🟡 Ballottaggio</t>
        </is>
      </c>
    </row>
    <row r="455">
      <c r="A455" s="2" t="inlineStr">
        <is>
          <t>Douvikas</t>
        </is>
      </c>
      <c r="B455" s="2" t="inlineStr">
        <is>
          <t>Como</t>
        </is>
      </c>
      <c r="C455" s="2" t="inlineStr">
        <is>
          <t>A</t>
        </is>
      </c>
      <c r="D455" s="2" t="inlineStr">
        <is>
          <t>Pc</t>
        </is>
      </c>
      <c r="E455" s="2" t="n">
        <v>22</v>
      </c>
      <c r="F455" s="2" t="n">
        <v>185</v>
      </c>
      <c r="G455" s="2" t="n">
        <v>53.2</v>
      </c>
      <c r="H455" s="2" t="n">
        <v>74.75</v>
      </c>
      <c r="I455" s="2" t="n">
        <v>2</v>
      </c>
      <c r="J455" s="2" t="inlineStr">
        <is>
          <t>Semi-Top</t>
        </is>
      </c>
      <c r="K455" s="2" t="n">
        <v>88</v>
      </c>
      <c r="L455" s="2" t="n">
        <v>7.01</v>
      </c>
      <c r="M455" s="2" t="n">
        <v>10</v>
      </c>
      <c r="N455" s="2" t="inlineStr">
        <is>
          <t>B</t>
        </is>
      </c>
      <c r="O455" s="2" t="n">
        <v>56</v>
      </c>
      <c r="P455" s="2" t="inlineStr">
        <is>
          <t>🟡 Ballottaggio</t>
        </is>
      </c>
    </row>
    <row r="456">
      <c r="A456" s="2" t="inlineStr">
        <is>
          <t>Yildiz</t>
        </is>
      </c>
      <c r="B456" s="2" t="inlineStr">
        <is>
          <t>Juventus</t>
        </is>
      </c>
      <c r="C456" s="2" t="inlineStr">
        <is>
          <t>A</t>
        </is>
      </c>
      <c r="D456" s="2" t="inlineStr">
        <is>
          <t>A</t>
        </is>
      </c>
      <c r="E456" s="2" t="n">
        <v>22</v>
      </c>
      <c r="F456" s="2" t="n">
        <v>100</v>
      </c>
      <c r="G456" s="2" t="n">
        <v>29.75</v>
      </c>
      <c r="H456" s="2" t="n">
        <v>38.25</v>
      </c>
      <c r="I456" s="2" t="n">
        <v>3</v>
      </c>
      <c r="J456" s="2" t="inlineStr">
        <is>
          <t>Riserva</t>
        </is>
      </c>
      <c r="K456" s="2" t="n">
        <v>69</v>
      </c>
      <c r="L456" s="2" t="n">
        <v>7.16</v>
      </c>
      <c r="M456" s="2" t="n">
        <v>0</v>
      </c>
      <c r="N456" s="2" t="inlineStr">
        <is>
          <t>T</t>
        </is>
      </c>
      <c r="O456" s="2" t="n">
        <v>30</v>
      </c>
      <c r="P456" s="2" t="inlineStr">
        <is>
          <t>🔴 Infortunato/Dubbio</t>
        </is>
      </c>
    </row>
    <row r="457">
      <c r="A457" s="2" t="inlineStr">
        <is>
          <t>Berardi</t>
        </is>
      </c>
      <c r="B457" s="2" t="inlineStr">
        <is>
          <t>Sassuolo</t>
        </is>
      </c>
      <c r="C457" s="2" t="inlineStr">
        <is>
          <t>A</t>
        </is>
      </c>
      <c r="D457" s="2" t="inlineStr">
        <is>
          <t>A</t>
        </is>
      </c>
      <c r="E457" s="2" t="n">
        <v>19</v>
      </c>
      <c r="F457" s="2" t="n">
        <v>106</v>
      </c>
      <c r="G457" s="2" t="n">
        <v>34.65</v>
      </c>
      <c r="H457" s="2" t="n">
        <v>50.8</v>
      </c>
      <c r="I457" s="2" t="n">
        <v>2</v>
      </c>
      <c r="J457" s="2" t="inlineStr">
        <is>
          <t>OttimoTit</t>
        </is>
      </c>
      <c r="K457" s="2" t="n">
        <v>88</v>
      </c>
      <c r="L457" s="2" t="n">
        <v>6.91</v>
      </c>
      <c r="M457" s="2" t="n">
        <v>70</v>
      </c>
      <c r="N457" s="2" t="inlineStr">
        <is>
          <t>T</t>
        </is>
      </c>
      <c r="O457" s="2" t="n">
        <v>32</v>
      </c>
      <c r="P457" s="2" t="inlineStr">
        <is>
          <t>🔴 Infortunato/Dubbio</t>
        </is>
      </c>
    </row>
    <row r="458">
      <c r="A458" s="2" t="inlineStr">
        <is>
          <t>Davis K.</t>
        </is>
      </c>
      <c r="B458" s="2" t="inlineStr">
        <is>
          <t>Udinese</t>
        </is>
      </c>
      <c r="C458" s="2" t="inlineStr">
        <is>
          <t>A</t>
        </is>
      </c>
      <c r="D458" s="2" t="inlineStr">
        <is>
          <t>Pc</t>
        </is>
      </c>
      <c r="E458" s="2" t="n">
        <v>19</v>
      </c>
      <c r="F458" s="2" t="n">
        <v>108</v>
      </c>
      <c r="G458" s="2" t="n">
        <v>33.35</v>
      </c>
      <c r="H458" s="2" t="n">
        <v>72.55</v>
      </c>
      <c r="I458" s="2" t="n">
        <v>2</v>
      </c>
      <c r="J458" s="2" t="inlineStr">
        <is>
          <t>Semi-Top</t>
        </is>
      </c>
      <c r="K458" s="2" t="n">
        <v>92</v>
      </c>
      <c r="L458" s="2" t="n">
        <v>6.94</v>
      </c>
      <c r="M458" s="2" t="n">
        <v>70</v>
      </c>
      <c r="N458" s="2" t="inlineStr">
        <is>
          <t>T</t>
        </is>
      </c>
      <c r="O458" s="2" t="n">
        <v>33.5</v>
      </c>
      <c r="P458" s="2" t="inlineStr">
        <is>
          <t>🎯 Rigorista designato</t>
        </is>
      </c>
    </row>
    <row r="459">
      <c r="A459" s="2" t="inlineStr">
        <is>
          <t>Scamacca</t>
        </is>
      </c>
      <c r="B459" s="2" t="inlineStr">
        <is>
          <t>Atalanta</t>
        </is>
      </c>
      <c r="C459" s="2" t="inlineStr">
        <is>
          <t>A</t>
        </is>
      </c>
      <c r="D459" s="2" t="inlineStr">
        <is>
          <t>Pc</t>
        </is>
      </c>
      <c r="E459" s="2" t="n">
        <v>19</v>
      </c>
      <c r="F459" s="2" t="n">
        <v>110</v>
      </c>
      <c r="G459" s="2" t="n">
        <v>43.05</v>
      </c>
      <c r="H459" s="2" t="n">
        <v>78.5</v>
      </c>
      <c r="I459" s="2" t="n">
        <v>1</v>
      </c>
      <c r="J459" s="2" t="inlineStr">
        <is>
          <t>Semi-Top</t>
        </is>
      </c>
      <c r="K459" s="2" t="n">
        <v>86</v>
      </c>
      <c r="L459" s="2" t="n">
        <v>7.06</v>
      </c>
      <c r="M459" s="2" t="n">
        <v>20</v>
      </c>
      <c r="N459" s="2" t="inlineStr">
        <is>
          <t>B</t>
        </is>
      </c>
      <c r="O459" s="2" t="n">
        <v>40</v>
      </c>
      <c r="P459" s="2" t="inlineStr">
        <is>
          <t>🟡 Ballottaggio</t>
        </is>
      </c>
    </row>
    <row r="460">
      <c r="A460" s="2" t="inlineStr">
        <is>
          <t>Krstovic</t>
        </is>
      </c>
      <c r="B460" s="2" t="inlineStr">
        <is>
          <t>Atalanta</t>
        </is>
      </c>
      <c r="C460" s="2" t="inlineStr">
        <is>
          <t>A</t>
        </is>
      </c>
      <c r="D460" s="2" t="inlineStr">
        <is>
          <t>Pc</t>
        </is>
      </c>
      <c r="E460" s="2" t="n">
        <v>18</v>
      </c>
      <c r="F460" s="2" t="n">
        <v>98</v>
      </c>
      <c r="G460" s="2" t="n">
        <v>26.3</v>
      </c>
      <c r="H460" s="2" t="n">
        <v>52.35</v>
      </c>
      <c r="I460" s="2" t="n">
        <v>2</v>
      </c>
      <c r="J460" s="2" t="inlineStr">
        <is>
          <t>Semi-Top</t>
        </is>
      </c>
      <c r="K460" s="2" t="n">
        <v>84</v>
      </c>
      <c r="L460" s="2" t="n">
        <v>6.99</v>
      </c>
      <c r="M460" s="2" t="n">
        <v>10</v>
      </c>
      <c r="N460" s="2" t="inlineStr">
        <is>
          <t>B</t>
        </is>
      </c>
      <c r="O460" s="2" t="n">
        <v>26.5</v>
      </c>
      <c r="P460" s="2" t="inlineStr">
        <is>
          <t>🟡 Ballottaggio</t>
        </is>
      </c>
    </row>
    <row r="461">
      <c r="A461" s="2" t="inlineStr">
        <is>
          <t>De Ketelaere</t>
        </is>
      </c>
      <c r="B461" s="2" t="inlineStr">
        <is>
          <t>Atalanta</t>
        </is>
      </c>
      <c r="C461" s="2" t="inlineStr">
        <is>
          <t>A</t>
        </is>
      </c>
      <c r="D461" s="2" t="inlineStr">
        <is>
          <t>A</t>
        </is>
      </c>
      <c r="E461" s="2" t="n">
        <v>17</v>
      </c>
      <c r="F461" s="2" t="n">
        <v>95</v>
      </c>
      <c r="G461" s="2" t="n">
        <v>24.9</v>
      </c>
      <c r="H461" s="2" t="n">
        <v>33.2</v>
      </c>
      <c r="I461" s="2" t="n">
        <v>3</v>
      </c>
      <c r="J461" s="2" t="inlineStr">
        <is>
          <t>OttimoTit</t>
        </is>
      </c>
      <c r="K461" s="2" t="n">
        <v>90</v>
      </c>
      <c r="L461" s="2" t="n">
        <v>6.74</v>
      </c>
      <c r="M461" s="2" t="n">
        <v>0</v>
      </c>
      <c r="N461" s="2" t="inlineStr">
        <is>
          <t>T</t>
        </is>
      </c>
      <c r="O461" s="2" t="n">
        <v>21</v>
      </c>
      <c r="P461" s="2" t="inlineStr">
        <is>
          <t>Normale</t>
        </is>
      </c>
    </row>
    <row r="462">
      <c r="A462" s="2" t="inlineStr">
        <is>
          <t>Esposito F.P.</t>
        </is>
      </c>
      <c r="B462" s="2" t="inlineStr">
        <is>
          <t>Inter</t>
        </is>
      </c>
      <c r="C462" s="2" t="inlineStr">
        <is>
          <t>A</t>
        </is>
      </c>
      <c r="D462" s="2" t="inlineStr">
        <is>
          <t>Pc</t>
        </is>
      </c>
      <c r="E462" s="2" t="n">
        <v>17</v>
      </c>
      <c r="F462" s="2" t="n">
        <v>105</v>
      </c>
      <c r="G462" s="2" t="n">
        <v>50.15</v>
      </c>
      <c r="H462" s="2" t="n">
        <v>57</v>
      </c>
      <c r="I462" s="2" t="n">
        <v>2</v>
      </c>
      <c r="J462" s="2" t="inlineStr">
        <is>
          <t>Semi-Top</t>
        </is>
      </c>
      <c r="K462" s="2" t="n">
        <v>82</v>
      </c>
      <c r="L462" s="2" t="n">
        <v>7.04</v>
      </c>
      <c r="M462" s="2" t="n">
        <v>0</v>
      </c>
      <c r="N462" s="2" t="inlineStr">
        <is>
          <t>P</t>
        </is>
      </c>
      <c r="O462" s="2" t="n">
        <v>50</v>
      </c>
      <c r="P462" s="2" t="inlineStr">
        <is>
          <t>Normale</t>
        </is>
      </c>
    </row>
    <row r="463">
      <c r="A463" s="2" t="inlineStr">
        <is>
          <t>Dybala</t>
        </is>
      </c>
      <c r="B463" s="2" t="inlineStr">
        <is>
          <t>Roma</t>
        </is>
      </c>
      <c r="C463" s="2" t="inlineStr">
        <is>
          <t>A</t>
        </is>
      </c>
      <c r="D463" s="2" t="inlineStr">
        <is>
          <t>A</t>
        </is>
      </c>
      <c r="E463" s="2" t="n">
        <v>16</v>
      </c>
      <c r="F463" s="2" t="n">
        <v>100</v>
      </c>
      <c r="G463" s="2" t="n">
        <v>54.7</v>
      </c>
      <c r="H463" s="2" t="n">
        <v>66.40000000000001</v>
      </c>
      <c r="I463" s="2" t="n">
        <v>2</v>
      </c>
      <c r="J463" s="2" t="inlineStr">
        <is>
          <t>Semi-Top</t>
        </is>
      </c>
      <c r="K463" s="2" t="n">
        <v>86</v>
      </c>
      <c r="L463" s="2" t="n">
        <v>7.01</v>
      </c>
      <c r="M463" s="2" t="n">
        <v>70</v>
      </c>
      <c r="N463" s="2" t="inlineStr">
        <is>
          <t>T</t>
        </is>
      </c>
      <c r="O463" s="2" t="n">
        <v>49.5</v>
      </c>
      <c r="P463" s="2" t="inlineStr">
        <is>
          <t>🎯 Rigorista designato</t>
        </is>
      </c>
    </row>
    <row r="464">
      <c r="A464" s="2" t="inlineStr">
        <is>
          <t>Dovbyk</t>
        </is>
      </c>
      <c r="B464" s="2" t="inlineStr">
        <is>
          <t>Bologna</t>
        </is>
      </c>
      <c r="C464" s="2" t="inlineStr">
        <is>
          <t>A</t>
        </is>
      </c>
      <c r="D464" s="2" t="inlineStr">
        <is>
          <t>Pc</t>
        </is>
      </c>
      <c r="E464" s="2" t="n">
        <v>15</v>
      </c>
      <c r="F464" s="2" t="n">
        <v>51</v>
      </c>
      <c r="G464" s="2" t="n">
        <v>8.050000000000001</v>
      </c>
      <c r="H464" s="2" t="n">
        <v>25.65</v>
      </c>
      <c r="I464" s="2" t="n">
        <v>3</v>
      </c>
      <c r="J464" s="2" t="inlineStr">
        <is>
          <t>OttimoTit</t>
        </is>
      </c>
      <c r="K464" s="2" t="n">
        <v>83</v>
      </c>
      <c r="L464" s="2" t="n">
        <v>6.8</v>
      </c>
      <c r="M464" s="2" t="n">
        <v>20</v>
      </c>
      <c r="N464" s="2" t="inlineStr">
        <is>
          <t>B</t>
        </is>
      </c>
      <c r="O464" s="2" t="n">
        <v>5.5</v>
      </c>
      <c r="P464" s="2" t="inlineStr">
        <is>
          <t>🟡 Ballottaggio</t>
        </is>
      </c>
    </row>
    <row r="465">
      <c r="A465" s="2" t="inlineStr">
        <is>
          <t>Laurientè</t>
        </is>
      </c>
      <c r="B465" s="2" t="inlineStr">
        <is>
          <t>Sassuolo</t>
        </is>
      </c>
      <c r="C465" s="2" t="inlineStr">
        <is>
          <t>A</t>
        </is>
      </c>
      <c r="D465" s="2" t="inlineStr">
        <is>
          <t>A</t>
        </is>
      </c>
      <c r="E465" s="2" t="n">
        <v>15</v>
      </c>
      <c r="F465" s="2" t="n">
        <v>83</v>
      </c>
      <c r="G465" s="2" t="n">
        <v>15.15</v>
      </c>
      <c r="H465" s="2" t="n">
        <v>26.6</v>
      </c>
      <c r="I465" s="2" t="n">
        <v>3</v>
      </c>
      <c r="J465" s="2" t="inlineStr">
        <is>
          <t>OttimoTit</t>
        </is>
      </c>
      <c r="K465" s="2" t="n">
        <v>90</v>
      </c>
      <c r="L465" s="2" t="n">
        <v>6.71</v>
      </c>
      <c r="M465" s="2" t="n">
        <v>10</v>
      </c>
      <c r="N465" s="2" t="inlineStr">
        <is>
          <t>T</t>
        </is>
      </c>
      <c r="O465" s="2" t="n">
        <v>14</v>
      </c>
      <c r="P465" s="2" t="inlineStr">
        <is>
          <t>Normale</t>
        </is>
      </c>
    </row>
    <row r="466">
      <c r="A466" s="2" t="inlineStr">
        <is>
          <t>Beto</t>
        </is>
      </c>
      <c r="B466" s="2" t="inlineStr">
        <is>
          <t>Fiorentina</t>
        </is>
      </c>
      <c r="C466" s="2" t="inlineStr">
        <is>
          <t>A</t>
        </is>
      </c>
      <c r="D466" s="2" t="inlineStr">
        <is>
          <t>Pc</t>
        </is>
      </c>
      <c r="E466" s="2" t="n">
        <v>14</v>
      </c>
      <c r="F466" s="2" t="n">
        <v>50</v>
      </c>
      <c r="G466" s="2" t="n">
        <v>18.4</v>
      </c>
      <c r="H466" s="2" t="n">
        <v>31.75</v>
      </c>
      <c r="I466" s="2" t="n">
        <v>3</v>
      </c>
      <c r="J466" s="2" t="inlineStr">
        <is>
          <t>OttimoTit</t>
        </is>
      </c>
      <c r="K466" s="2" t="n">
        <v>88</v>
      </c>
      <c r="L466" s="2" t="n">
        <v>6.76</v>
      </c>
      <c r="M466" s="2" t="n">
        <v>10</v>
      </c>
      <c r="N466" s="2" t="inlineStr">
        <is>
          <t>B</t>
        </is>
      </c>
      <c r="O466" s="2" t="n">
        <v>16</v>
      </c>
      <c r="P466" s="2" t="inlineStr">
        <is>
          <t>🟡 Ballottaggio</t>
        </is>
      </c>
    </row>
    <row r="467">
      <c r="A467" s="2" t="inlineStr">
        <is>
          <t>Castro S.</t>
        </is>
      </c>
      <c r="B467" s="2" t="inlineStr">
        <is>
          <t>Roma</t>
        </is>
      </c>
      <c r="C467" s="2" t="inlineStr">
        <is>
          <t>A</t>
        </is>
      </c>
      <c r="D467" s="2" t="inlineStr">
        <is>
          <t>Pc</t>
        </is>
      </c>
      <c r="E467" s="2" t="n">
        <v>14</v>
      </c>
      <c r="F467" s="2" t="n">
        <v>70</v>
      </c>
      <c r="G467" s="2" t="n">
        <v>8.9</v>
      </c>
      <c r="H467" s="2" t="n">
        <v>24.7</v>
      </c>
      <c r="I467" s="2" t="n">
        <v>4</v>
      </c>
      <c r="J467" s="2" t="inlineStr">
        <is>
          <t>OttimoTit</t>
        </is>
      </c>
      <c r="K467" s="2" t="n">
        <v>80</v>
      </c>
      <c r="L467" s="2" t="n">
        <v>6.85</v>
      </c>
      <c r="M467" s="2" t="n">
        <v>0</v>
      </c>
      <c r="N467" s="2" t="inlineStr">
        <is>
          <t>P</t>
        </is>
      </c>
      <c r="O467" s="2" t="n">
        <v>8</v>
      </c>
      <c r="P467" s="2" t="inlineStr">
        <is>
          <t>Normale</t>
        </is>
      </c>
    </row>
    <row r="468">
      <c r="A468" s="2" t="inlineStr">
        <is>
          <t>Pellegrino M.</t>
        </is>
      </c>
      <c r="B468" s="2" t="inlineStr">
        <is>
          <t>Fiorentina</t>
        </is>
      </c>
      <c r="C468" s="2" t="inlineStr">
        <is>
          <t>A</t>
        </is>
      </c>
      <c r="D468" s="2" t="inlineStr">
        <is>
          <t>Pc</t>
        </is>
      </c>
      <c r="E468" s="2" t="n">
        <v>14</v>
      </c>
      <c r="F468" s="2" t="n">
        <v>40</v>
      </c>
      <c r="G468" s="2" t="n">
        <v>8.5</v>
      </c>
      <c r="H468" s="2" t="n">
        <v>21.1</v>
      </c>
      <c r="I468" s="2" t="n">
        <v>4</v>
      </c>
      <c r="J468" s="2" t="inlineStr">
        <is>
          <t>OttimoTit</t>
        </is>
      </c>
      <c r="K468" s="2" t="n">
        <v>86</v>
      </c>
      <c r="L468" s="2" t="n">
        <v>6.72</v>
      </c>
      <c r="M468" s="2" t="n">
        <v>20</v>
      </c>
      <c r="N468" s="2" t="inlineStr">
        <is>
          <t>B</t>
        </is>
      </c>
      <c r="O468" s="2" t="n">
        <v>6.5</v>
      </c>
      <c r="P468" s="2" t="inlineStr">
        <is>
          <t>🟡 Ballottaggio</t>
        </is>
      </c>
    </row>
    <row r="469">
      <c r="A469" s="2" t="inlineStr">
        <is>
          <t>Raspadori</t>
        </is>
      </c>
      <c r="B469" s="2" t="inlineStr">
        <is>
          <t>Atalanta</t>
        </is>
      </c>
      <c r="C469" s="2" t="inlineStr">
        <is>
          <t>A</t>
        </is>
      </c>
      <c r="D469" s="2" t="inlineStr">
        <is>
          <t>A</t>
        </is>
      </c>
      <c r="E469" s="2" t="n">
        <v>14</v>
      </c>
      <c r="F469" s="2" t="n">
        <v>73</v>
      </c>
      <c r="G469" s="2" t="n">
        <v>13.5</v>
      </c>
      <c r="H469" s="2" t="n">
        <v>19.75</v>
      </c>
      <c r="I469" s="2" t="n">
        <v>4</v>
      </c>
      <c r="J469" s="2" t="inlineStr">
        <is>
          <t>OttimoTit</t>
        </is>
      </c>
      <c r="K469" s="2" t="n">
        <v>84</v>
      </c>
      <c r="L469" s="2" t="n">
        <v>6.74</v>
      </c>
      <c r="M469" s="2" t="n">
        <v>0</v>
      </c>
      <c r="N469" s="2" t="inlineStr">
        <is>
          <t>B</t>
        </is>
      </c>
      <c r="O469" s="2" t="n">
        <v>9</v>
      </c>
      <c r="P469" s="2" t="inlineStr">
        <is>
          <t>🟡 Ballottaggio</t>
        </is>
      </c>
    </row>
    <row r="470">
      <c r="A470" s="2" t="inlineStr">
        <is>
          <t>Santos A.</t>
        </is>
      </c>
      <c r="B470" s="2" t="inlineStr">
        <is>
          <t>Napoli</t>
        </is>
      </c>
      <c r="C470" s="2" t="inlineStr">
        <is>
          <t>A</t>
        </is>
      </c>
      <c r="D470" s="2" t="inlineStr">
        <is>
          <t>W/A</t>
        </is>
      </c>
      <c r="E470" s="2" t="n">
        <v>14</v>
      </c>
      <c r="F470" s="2" t="n">
        <v>61</v>
      </c>
      <c r="G470" s="2" t="n">
        <v>25.05</v>
      </c>
      <c r="H470" s="2" t="n">
        <v>27.4</v>
      </c>
      <c r="I470" s="2" t="n">
        <v>3</v>
      </c>
      <c r="J470" s="2" t="inlineStr">
        <is>
          <t>OttimoTit</t>
        </is>
      </c>
      <c r="K470" s="2" t="n">
        <v>88</v>
      </c>
      <c r="L470" s="2" t="n">
        <v>6.74</v>
      </c>
      <c r="M470" s="2" t="n">
        <v>0</v>
      </c>
      <c r="N470" s="2" t="inlineStr">
        <is>
          <t>B</t>
        </is>
      </c>
      <c r="O470" s="2" t="n">
        <v>25</v>
      </c>
      <c r="P470" s="2" t="inlineStr">
        <is>
          <t>🟡 Ballottaggio</t>
        </is>
      </c>
    </row>
    <row r="471">
      <c r="A471" s="2" t="inlineStr">
        <is>
          <t>Simeone</t>
        </is>
      </c>
      <c r="B471" s="2" t="inlineStr">
        <is>
          <t>Torino</t>
        </is>
      </c>
      <c r="C471" s="2" t="inlineStr">
        <is>
          <t>A</t>
        </is>
      </c>
      <c r="D471" s="2" t="inlineStr">
        <is>
          <t>Pc</t>
        </is>
      </c>
      <c r="E471" s="2" t="n">
        <v>14</v>
      </c>
      <c r="F471" s="2" t="n">
        <v>80</v>
      </c>
      <c r="G471" s="2" t="n">
        <v>19.05</v>
      </c>
      <c r="H471" s="2" t="n">
        <v>54.95</v>
      </c>
      <c r="I471" s="2" t="n">
        <v>2</v>
      </c>
      <c r="J471" s="2" t="inlineStr">
        <is>
          <t>Semi-Top</t>
        </is>
      </c>
      <c r="K471" s="2" t="n">
        <v>90</v>
      </c>
      <c r="L471" s="2" t="n">
        <v>6.9</v>
      </c>
      <c r="M471" s="2" t="n">
        <v>20</v>
      </c>
      <c r="N471" s="2" t="inlineStr">
        <is>
          <t>T</t>
        </is>
      </c>
      <c r="O471" s="2" t="n">
        <v>19</v>
      </c>
      <c r="P471" s="2" t="inlineStr">
        <is>
          <t>Normale</t>
        </is>
      </c>
    </row>
    <row r="472">
      <c r="A472" s="2" t="inlineStr">
        <is>
          <t>Soulè</t>
        </is>
      </c>
      <c r="B472" s="2" t="inlineStr">
        <is>
          <t>Roma</t>
        </is>
      </c>
      <c r="C472" s="2" t="inlineStr">
        <is>
          <t>A</t>
        </is>
      </c>
      <c r="D472" s="2" t="inlineStr">
        <is>
          <t>A</t>
        </is>
      </c>
      <c r="E472" s="2" t="n">
        <v>13</v>
      </c>
      <c r="F472" s="2" t="n">
        <v>48</v>
      </c>
      <c r="G472" s="2" t="n">
        <v>13.75</v>
      </c>
      <c r="H472" s="2" t="n">
        <v>10.15</v>
      </c>
      <c r="I472" s="2" t="n">
        <v>4</v>
      </c>
      <c r="J472" s="2" t="inlineStr">
        <is>
          <t>OttimoTit</t>
        </is>
      </c>
      <c r="K472" s="2" t="n">
        <v>78</v>
      </c>
      <c r="L472" s="2" t="n">
        <v>6.72</v>
      </c>
      <c r="M472" s="2" t="n">
        <v>10</v>
      </c>
      <c r="N472" s="2" t="inlineStr">
        <is>
          <t>P</t>
        </is>
      </c>
      <c r="O472" s="2" t="n">
        <v>13</v>
      </c>
      <c r="P472" s="2" t="inlineStr">
        <is>
          <t>Normale</t>
        </is>
      </c>
    </row>
    <row r="473">
      <c r="A473" s="2" t="inlineStr">
        <is>
          <t>Diao</t>
        </is>
      </c>
      <c r="B473" s="2" t="inlineStr">
        <is>
          <t>Como</t>
        </is>
      </c>
      <c r="C473" s="2" t="inlineStr">
        <is>
          <t>A</t>
        </is>
      </c>
      <c r="D473" s="2" t="inlineStr">
        <is>
          <t>W/A</t>
        </is>
      </c>
      <c r="E473" s="2" t="n">
        <v>12</v>
      </c>
      <c r="F473" s="2" t="n">
        <v>50</v>
      </c>
      <c r="G473" s="2" t="n">
        <v>27.8</v>
      </c>
      <c r="H473" s="2" t="n">
        <v>12.2</v>
      </c>
      <c r="I473" s="2" t="n">
        <v>4</v>
      </c>
      <c r="J473" s="2" t="inlineStr">
        <is>
          <t>OttimoTit</t>
        </is>
      </c>
      <c r="K473" s="2" t="n">
        <v>92</v>
      </c>
      <c r="L473" s="2" t="n">
        <v>6.55</v>
      </c>
      <c r="M473" s="2" t="n">
        <v>0</v>
      </c>
      <c r="N473" s="2" t="inlineStr">
        <is>
          <t>T</t>
        </is>
      </c>
      <c r="O473" s="2" t="n">
        <v>40</v>
      </c>
      <c r="P473" s="2" t="inlineStr">
        <is>
          <t>Normale</t>
        </is>
      </c>
    </row>
    <row r="474">
      <c r="A474" s="2" t="inlineStr">
        <is>
          <t>Esposito Se.</t>
        </is>
      </c>
      <c r="B474" s="2" t="inlineStr">
        <is>
          <t>Sassuolo</t>
        </is>
      </c>
      <c r="C474" s="2" t="inlineStr">
        <is>
          <t>A</t>
        </is>
      </c>
      <c r="D474" s="2" t="inlineStr">
        <is>
          <t>A</t>
        </is>
      </c>
      <c r="E474" s="2" t="n">
        <v>12</v>
      </c>
      <c r="F474" s="2" t="n">
        <v>40</v>
      </c>
      <c r="G474" s="2" t="n">
        <v>7.85</v>
      </c>
      <c r="H474" s="2" t="n">
        <v>8.800000000000001</v>
      </c>
      <c r="I474" s="2" t="n">
        <v>4</v>
      </c>
      <c r="J474" s="2" t="inlineStr">
        <is>
          <t>OttimoTit</t>
        </is>
      </c>
      <c r="K474" s="2" t="n">
        <v>84</v>
      </c>
      <c r="L474" s="2" t="n">
        <v>6.61</v>
      </c>
      <c r="M474" s="2" t="n">
        <v>20</v>
      </c>
      <c r="N474" s="2" t="inlineStr">
        <is>
          <t>B</t>
        </is>
      </c>
      <c r="O474" s="2" t="n">
        <v>6</v>
      </c>
      <c r="P474" s="2" t="inlineStr">
        <is>
          <t>🟡 Ballottaggio</t>
        </is>
      </c>
    </row>
    <row r="475">
      <c r="A475" s="2" t="inlineStr">
        <is>
          <t>Kevin Carlos</t>
        </is>
      </c>
      <c r="B475" s="2" t="inlineStr">
        <is>
          <t>Cagliari</t>
        </is>
      </c>
      <c r="C475" s="2" t="inlineStr">
        <is>
          <t>A</t>
        </is>
      </c>
      <c r="D475" s="2" t="inlineStr">
        <is>
          <t>Pc</t>
        </is>
      </c>
      <c r="E475" s="2" t="n">
        <v>12</v>
      </c>
      <c r="F475" s="2" t="n">
        <v>36</v>
      </c>
      <c r="G475" s="2" t="n">
        <v>1.3</v>
      </c>
      <c r="H475" s="2" t="n">
        <v>0.5</v>
      </c>
      <c r="I475" s="2" t="n">
        <v>6</v>
      </c>
      <c r="J475" s="2" t="inlineStr">
        <is>
          <t>TitLowCost</t>
        </is>
      </c>
      <c r="K475" s="2" t="n">
        <v>76</v>
      </c>
      <c r="L475" s="2" t="n">
        <v>6.34</v>
      </c>
      <c r="M475" s="2" t="n">
        <v>0</v>
      </c>
      <c r="N475" s="2" t="inlineStr">
        <is>
          <t>P</t>
        </is>
      </c>
      <c r="O475" s="2" t="n">
        <v>1</v>
      </c>
      <c r="P475" s="2" t="inlineStr">
        <is>
          <t>Normale</t>
        </is>
      </c>
    </row>
    <row r="476">
      <c r="A476" s="2" t="inlineStr">
        <is>
          <t>Pinamonti</t>
        </is>
      </c>
      <c r="B476" s="2" t="inlineStr">
        <is>
          <t>Lazio</t>
        </is>
      </c>
      <c r="C476" s="2" t="inlineStr">
        <is>
          <t>A</t>
        </is>
      </c>
      <c r="D476" s="2" t="inlineStr">
        <is>
          <t>Pc</t>
        </is>
      </c>
      <c r="E476" s="2" t="n">
        <v>12</v>
      </c>
      <c r="F476" s="2" t="n">
        <v>53</v>
      </c>
      <c r="G476" s="2" t="n">
        <v>23.35</v>
      </c>
      <c r="H476" s="2" t="n">
        <v>41.55</v>
      </c>
      <c r="I476" s="2" t="n">
        <v>3</v>
      </c>
      <c r="J476" s="2" t="inlineStr">
        <is>
          <t>OttimoTit</t>
        </is>
      </c>
      <c r="K476" s="2" t="n">
        <v>86</v>
      </c>
      <c r="L476" s="2" t="n">
        <v>6.86</v>
      </c>
      <c r="M476" s="2" t="n">
        <v>10</v>
      </c>
      <c r="N476" s="2" t="inlineStr">
        <is>
          <t>T</t>
        </is>
      </c>
      <c r="O476" s="2" t="n">
        <v>23</v>
      </c>
      <c r="P476" s="2" t="inlineStr">
        <is>
          <t>🔴 Infortunato/Dubbio</t>
        </is>
      </c>
    </row>
    <row r="477">
      <c r="A477" s="2" t="inlineStr">
        <is>
          <t>Adams A.</t>
        </is>
      </c>
      <c r="B477" s="2" t="inlineStr">
        <is>
          <t>Venezia</t>
        </is>
      </c>
      <c r="C477" s="2" t="inlineStr">
        <is>
          <t>A</t>
        </is>
      </c>
      <c r="D477" s="2" t="inlineStr">
        <is>
          <t>Pc</t>
        </is>
      </c>
      <c r="E477" s="2" t="n">
        <v>11</v>
      </c>
      <c r="F477" s="2" t="n">
        <v>35</v>
      </c>
      <c r="G477" s="2" t="n">
        <v>2.65</v>
      </c>
      <c r="H477" s="2" t="n">
        <v>4.4</v>
      </c>
      <c r="I477" s="2" t="n">
        <v>5</v>
      </c>
      <c r="J477" s="2" t="inlineStr">
        <is>
          <t>OttimoTit</t>
        </is>
      </c>
      <c r="K477" s="2" t="n">
        <v>92</v>
      </c>
      <c r="L477" s="2" t="n">
        <v>6.47</v>
      </c>
      <c r="M477" s="2" t="n">
        <v>20</v>
      </c>
      <c r="N477" s="2" t="inlineStr">
        <is>
          <t>T</t>
        </is>
      </c>
      <c r="O477" s="2" t="n">
        <v>1.5</v>
      </c>
      <c r="P477" s="2" t="inlineStr">
        <is>
          <t>Normale</t>
        </is>
      </c>
    </row>
    <row r="478">
      <c r="A478" s="2" t="inlineStr">
        <is>
          <t>Colombo</t>
        </is>
      </c>
      <c r="B478" s="2" t="inlineStr">
        <is>
          <t>Genoa</t>
        </is>
      </c>
      <c r="C478" s="2" t="inlineStr">
        <is>
          <t>A</t>
        </is>
      </c>
      <c r="D478" s="2" t="inlineStr">
        <is>
          <t>Pc</t>
        </is>
      </c>
      <c r="E478" s="2" t="n">
        <v>11</v>
      </c>
      <c r="F478" s="2" t="n">
        <v>52</v>
      </c>
      <c r="G478" s="2" t="n">
        <v>6.15</v>
      </c>
      <c r="H478" s="2" t="n">
        <v>28.85</v>
      </c>
      <c r="I478" s="2" t="n">
        <v>3</v>
      </c>
      <c r="J478" s="2" t="inlineStr">
        <is>
          <t>OttimoTit</t>
        </is>
      </c>
      <c r="K478" s="2" t="n">
        <v>92</v>
      </c>
      <c r="L478" s="2" t="n">
        <v>6.69</v>
      </c>
      <c r="M478" s="2" t="n">
        <v>70</v>
      </c>
      <c r="N478" s="2" t="inlineStr">
        <is>
          <t>T</t>
        </is>
      </c>
      <c r="O478" s="2" t="n">
        <v>4</v>
      </c>
      <c r="P478" s="2" t="inlineStr">
        <is>
          <t>🎯 Rigorista designato</t>
        </is>
      </c>
    </row>
    <row r="479">
      <c r="A479" s="2" t="inlineStr">
        <is>
          <t>Adams C.</t>
        </is>
      </c>
      <c r="B479" s="2" t="inlineStr">
        <is>
          <t>Torino</t>
        </is>
      </c>
      <c r="C479" s="2" t="inlineStr">
        <is>
          <t>A</t>
        </is>
      </c>
      <c r="D479" s="2" t="inlineStr">
        <is>
          <t>A</t>
        </is>
      </c>
      <c r="E479" s="2" t="n">
        <v>10</v>
      </c>
      <c r="F479" s="2" t="n">
        <v>33</v>
      </c>
      <c r="G479" s="2" t="n">
        <v>2.85</v>
      </c>
      <c r="H479" s="2" t="n">
        <v>0.5</v>
      </c>
      <c r="I479" s="2" t="n">
        <v>6</v>
      </c>
      <c r="J479" s="2" t="inlineStr">
        <is>
          <t>TitLowCost</t>
        </is>
      </c>
      <c r="K479" s="2" t="n">
        <v>82</v>
      </c>
      <c r="L479" s="2" t="n">
        <v>6.47</v>
      </c>
      <c r="M479" s="2" t="n">
        <v>0</v>
      </c>
      <c r="N479" s="2" t="inlineStr">
        <is>
          <t>P</t>
        </is>
      </c>
      <c r="O479" s="2" t="n">
        <v>2</v>
      </c>
      <c r="P479" s="2" t="inlineStr">
        <is>
          <t>Normale</t>
        </is>
      </c>
    </row>
    <row r="480">
      <c r="A480" s="2" t="inlineStr">
        <is>
          <t>Romero D.</t>
        </is>
      </c>
      <c r="B480" s="2" t="inlineStr">
        <is>
          <t>Parma</t>
        </is>
      </c>
      <c r="C480" s="2" t="inlineStr">
        <is>
          <t>A</t>
        </is>
      </c>
      <c r="D480" s="2" t="inlineStr">
        <is>
          <t>Pc</t>
        </is>
      </c>
      <c r="E480" s="2" t="n">
        <v>10</v>
      </c>
      <c r="F480" s="2" t="n">
        <v>37</v>
      </c>
      <c r="G480" s="2" t="n">
        <v>2.25</v>
      </c>
      <c r="H480" s="2" t="n">
        <v>0.5</v>
      </c>
      <c r="I480" s="2" t="n">
        <v>6</v>
      </c>
      <c r="J480" s="2" t="inlineStr">
        <is>
          <t>TitLowCost</t>
        </is>
      </c>
      <c r="K480" s="2" t="n">
        <v>90</v>
      </c>
      <c r="L480" s="2" t="n">
        <v>6.4</v>
      </c>
      <c r="M480" s="2" t="n">
        <v>0</v>
      </c>
      <c r="N480" s="2" t="inlineStr">
        <is>
          <t>T</t>
        </is>
      </c>
      <c r="O480" s="2" t="n">
        <v>1</v>
      </c>
      <c r="P480" s="2" t="inlineStr">
        <is>
          <t>Normale</t>
        </is>
      </c>
    </row>
    <row r="481">
      <c r="A481" s="2" t="inlineStr">
        <is>
          <t>Tourè E.</t>
        </is>
      </c>
      <c r="B481" s="2" t="inlineStr">
        <is>
          <t>Parma</t>
        </is>
      </c>
      <c r="C481" s="2" t="inlineStr">
        <is>
          <t>A</t>
        </is>
      </c>
      <c r="D481" s="2" t="inlineStr">
        <is>
          <t>Pc</t>
        </is>
      </c>
      <c r="E481" s="2" t="n">
        <v>10</v>
      </c>
      <c r="F481" s="2" t="n">
        <v>37</v>
      </c>
      <c r="G481" s="2" t="n">
        <v>1.95</v>
      </c>
      <c r="H481" s="2" t="n">
        <v>3.55</v>
      </c>
      <c r="I481" s="2" t="n">
        <v>5</v>
      </c>
      <c r="J481" s="2" t="inlineStr">
        <is>
          <t>OttimoTit</t>
        </is>
      </c>
      <c r="K481" s="2" t="n">
        <v>90</v>
      </c>
      <c r="L481" s="2" t="n">
        <v>6.48</v>
      </c>
      <c r="M481" s="2" t="n">
        <v>70</v>
      </c>
      <c r="N481" s="2" t="inlineStr">
        <is>
          <t>T</t>
        </is>
      </c>
      <c r="O481" s="2" t="n">
        <v>1</v>
      </c>
      <c r="P481" s="2" t="inlineStr">
        <is>
          <t>🎯 Rigorista designato</t>
        </is>
      </c>
    </row>
    <row r="482">
      <c r="A482" s="2" t="inlineStr">
        <is>
          <t>Bobcek</t>
        </is>
      </c>
      <c r="B482" s="2" t="inlineStr">
        <is>
          <t>Frosinone</t>
        </is>
      </c>
      <c r="C482" s="2" t="inlineStr">
        <is>
          <t>A</t>
        </is>
      </c>
      <c r="D482" s="2" t="inlineStr">
        <is>
          <t>Pc</t>
        </is>
      </c>
      <c r="E482" s="2" t="n">
        <v>9</v>
      </c>
      <c r="F482" s="2" t="n">
        <v>31</v>
      </c>
      <c r="G482" s="2" t="n">
        <v>1.05</v>
      </c>
      <c r="H482" s="2" t="n">
        <v>0.5</v>
      </c>
      <c r="I482" s="2" t="n">
        <v>6</v>
      </c>
      <c r="J482" s="2" t="inlineStr">
        <is>
          <t>TitLowCost</t>
        </is>
      </c>
      <c r="K482" s="2" t="n">
        <v>84</v>
      </c>
      <c r="L482" s="2" t="n">
        <v>6.44</v>
      </c>
      <c r="M482" s="2" t="n">
        <v>10</v>
      </c>
      <c r="N482" s="2" t="inlineStr">
        <is>
          <t>B</t>
        </is>
      </c>
      <c r="O482" s="2" t="n">
        <v>1</v>
      </c>
      <c r="P482" s="2" t="inlineStr">
        <is>
          <t>🟡 Ballottaggio</t>
        </is>
      </c>
    </row>
    <row r="483">
      <c r="A483" s="2" t="inlineStr">
        <is>
          <t>Bowie</t>
        </is>
      </c>
      <c r="B483" s="2" t="inlineStr">
        <is>
          <t>Sassuolo</t>
        </is>
      </c>
      <c r="C483" s="2" t="inlineStr">
        <is>
          <t>A</t>
        </is>
      </c>
      <c r="D483" s="2" t="inlineStr">
        <is>
          <t>Pc</t>
        </is>
      </c>
      <c r="E483" s="2" t="n">
        <v>9</v>
      </c>
      <c r="F483" s="2" t="n">
        <v>32</v>
      </c>
      <c r="G483" s="2" t="n">
        <v>1.8</v>
      </c>
      <c r="H483" s="2" t="n">
        <v>6.5</v>
      </c>
      <c r="I483" s="2" t="n">
        <v>4</v>
      </c>
      <c r="J483" s="2" t="inlineStr">
        <is>
          <t>OttimoTit</t>
        </is>
      </c>
      <c r="K483" s="2" t="n">
        <v>88</v>
      </c>
      <c r="L483" s="2" t="n">
        <v>6.54</v>
      </c>
      <c r="M483" s="2" t="n">
        <v>0</v>
      </c>
      <c r="N483" s="2" t="inlineStr">
        <is>
          <t>B</t>
        </is>
      </c>
      <c r="O483" s="2" t="n">
        <v>1</v>
      </c>
      <c r="P483" s="2" t="inlineStr">
        <is>
          <t>🟡 Ballottaggio</t>
        </is>
      </c>
    </row>
    <row r="484">
      <c r="A484" s="2" t="inlineStr">
        <is>
          <t>Cutrone</t>
        </is>
      </c>
      <c r="B484" s="2" t="inlineStr">
        <is>
          <t>Monza</t>
        </is>
      </c>
      <c r="C484" s="2" t="inlineStr">
        <is>
          <t>A</t>
        </is>
      </c>
      <c r="D484" s="2" t="inlineStr">
        <is>
          <t>Pc</t>
        </is>
      </c>
      <c r="E484" s="2" t="n">
        <v>9</v>
      </c>
      <c r="F484" s="2" t="n">
        <v>23</v>
      </c>
      <c r="G484" s="2" t="n">
        <v>1.1</v>
      </c>
      <c r="H484" s="2" t="n">
        <v>0.5</v>
      </c>
      <c r="I484" s="2" t="n">
        <v>6</v>
      </c>
      <c r="J484" s="2" t="inlineStr">
        <is>
          <t>TitLowCost</t>
        </is>
      </c>
      <c r="K484" s="2" t="n">
        <v>86</v>
      </c>
      <c r="L484" s="2" t="n">
        <v>6.45</v>
      </c>
      <c r="M484" s="2" t="n">
        <v>20</v>
      </c>
      <c r="N484" s="2" t="inlineStr">
        <is>
          <t>B</t>
        </is>
      </c>
      <c r="O484" s="2" t="n">
        <v>1</v>
      </c>
      <c r="P484" s="2" t="inlineStr">
        <is>
          <t>🟡 Ballottaggio</t>
        </is>
      </c>
    </row>
    <row r="485">
      <c r="A485" s="2" t="inlineStr">
        <is>
          <t>Raimondo</t>
        </is>
      </c>
      <c r="B485" s="2" t="inlineStr">
        <is>
          <t>Frosinone</t>
        </is>
      </c>
      <c r="C485" s="2" t="inlineStr">
        <is>
          <t>A</t>
        </is>
      </c>
      <c r="D485" s="2" t="inlineStr">
        <is>
          <t>Pc</t>
        </is>
      </c>
      <c r="E485" s="2" t="n">
        <v>9</v>
      </c>
      <c r="F485" s="2" t="n">
        <v>27</v>
      </c>
      <c r="G485" s="2" t="n">
        <v>3.15</v>
      </c>
      <c r="H485" s="2" t="n">
        <v>0.5</v>
      </c>
      <c r="I485" s="2" t="n">
        <v>6</v>
      </c>
      <c r="J485" s="2" t="inlineStr">
        <is>
          <t>TitLowCost</t>
        </is>
      </c>
      <c r="K485" s="2" t="n">
        <v>88</v>
      </c>
      <c r="L485" s="2" t="n">
        <v>6.36</v>
      </c>
      <c r="M485" s="2" t="n">
        <v>0</v>
      </c>
      <c r="N485" s="2" t="inlineStr">
        <is>
          <t>B</t>
        </is>
      </c>
      <c r="O485" s="2" t="n">
        <v>2</v>
      </c>
      <c r="P485" s="2" t="inlineStr">
        <is>
          <t>🟡 Ballottaggio</t>
        </is>
      </c>
    </row>
    <row r="486">
      <c r="A486" s="2" t="inlineStr">
        <is>
          <t>Yeboah J.</t>
        </is>
      </c>
      <c r="B486" s="2" t="inlineStr">
        <is>
          <t>Venezia</t>
        </is>
      </c>
      <c r="C486" s="2" t="inlineStr">
        <is>
          <t>A</t>
        </is>
      </c>
      <c r="D486" s="2" t="inlineStr">
        <is>
          <t>A</t>
        </is>
      </c>
      <c r="E486" s="2" t="n">
        <v>9</v>
      </c>
      <c r="F486" s="2" t="n">
        <v>27</v>
      </c>
      <c r="G486" s="2" t="n">
        <v>2.3</v>
      </c>
      <c r="H486" s="2" t="n">
        <v>5.05</v>
      </c>
      <c r="I486" s="2" t="n">
        <v>5</v>
      </c>
      <c r="J486" s="2" t="inlineStr">
        <is>
          <t>OttimoTit</t>
        </is>
      </c>
      <c r="K486" s="2" t="n">
        <v>92</v>
      </c>
      <c r="L486" s="2" t="n">
        <v>6.48</v>
      </c>
      <c r="M486" s="2" t="n">
        <v>10</v>
      </c>
      <c r="N486" s="2" t="inlineStr">
        <is>
          <t>T</t>
        </is>
      </c>
      <c r="O486" s="2" t="n">
        <v>1.5</v>
      </c>
      <c r="P486" s="2" t="inlineStr">
        <is>
          <t>Normale</t>
        </is>
      </c>
    </row>
    <row r="487">
      <c r="A487" s="2" t="inlineStr">
        <is>
          <t>Geubbels</t>
        </is>
      </c>
      <c r="B487" s="2" t="inlineStr">
        <is>
          <t>Lecce</t>
        </is>
      </c>
      <c r="C487" s="2" t="inlineStr">
        <is>
          <t>A</t>
        </is>
      </c>
      <c r="D487" s="2" t="inlineStr">
        <is>
          <t>Pc</t>
        </is>
      </c>
      <c r="E487" s="2" t="n">
        <v>8</v>
      </c>
      <c r="F487" s="2" t="n">
        <v>23</v>
      </c>
      <c r="G487" s="2" t="n">
        <v>1.3</v>
      </c>
      <c r="H487" s="2" t="n">
        <v>0.5</v>
      </c>
      <c r="I487" s="2" t="n">
        <v>5</v>
      </c>
      <c r="J487" s="2" t="inlineStr">
        <is>
          <t>OttimoTit</t>
        </is>
      </c>
      <c r="K487" s="2" t="n">
        <v>83</v>
      </c>
      <c r="L487" s="2" t="n">
        <v>6.51</v>
      </c>
      <c r="M487" s="2" t="n">
        <v>70</v>
      </c>
      <c r="N487" s="2" t="inlineStr">
        <is>
          <t>B</t>
        </is>
      </c>
      <c r="O487" s="2" t="n">
        <v>1</v>
      </c>
      <c r="P487" s="2" t="inlineStr">
        <is>
          <t>🔴 Infortunato/Dubbio</t>
        </is>
      </c>
    </row>
    <row r="488">
      <c r="A488" s="2" t="inlineStr">
        <is>
          <t>Ghedjemis</t>
        </is>
      </c>
      <c r="B488" s="2" t="inlineStr">
        <is>
          <t>Frosinone</t>
        </is>
      </c>
      <c r="C488" s="2" t="inlineStr">
        <is>
          <t>A</t>
        </is>
      </c>
      <c r="D488" s="2" t="inlineStr">
        <is>
          <t>W/A</t>
        </is>
      </c>
      <c r="E488" s="2" t="n">
        <v>8</v>
      </c>
      <c r="F488" s="2" t="n">
        <v>23</v>
      </c>
      <c r="G488" s="2" t="n">
        <v>1.6</v>
      </c>
      <c r="H488" s="2" t="n">
        <v>0.5</v>
      </c>
      <c r="I488" s="2" t="n">
        <v>6</v>
      </c>
      <c r="J488" s="2" t="inlineStr">
        <is>
          <t>Riserva</t>
        </is>
      </c>
      <c r="K488" s="2" t="n">
        <v>52</v>
      </c>
      <c r="L488" s="2" t="n">
        <v>6.32</v>
      </c>
      <c r="M488" s="2" t="n">
        <v>0</v>
      </c>
      <c r="N488" s="2" t="inlineStr">
        <is>
          <t>P</t>
        </is>
      </c>
      <c r="O488" s="2" t="n">
        <v>1</v>
      </c>
      <c r="P488" s="2" t="inlineStr">
        <is>
          <t>🪑 Riserva Fissa (da fasciaFc)</t>
        </is>
      </c>
    </row>
    <row r="489">
      <c r="A489" s="2" t="inlineStr">
        <is>
          <t>Osmajic</t>
        </is>
      </c>
      <c r="B489" s="2" t="inlineStr">
        <is>
          <t>Genoa</t>
        </is>
      </c>
      <c r="C489" s="2" t="inlineStr">
        <is>
          <t>A</t>
        </is>
      </c>
      <c r="D489" s="2" t="inlineStr">
        <is>
          <t>Pc</t>
        </is>
      </c>
      <c r="E489" s="2" t="n">
        <v>8</v>
      </c>
      <c r="F489" s="2" t="n">
        <v>28</v>
      </c>
      <c r="G489" s="2" t="n">
        <v>1.15</v>
      </c>
      <c r="H489" s="2" t="n">
        <v>0.5</v>
      </c>
      <c r="I489" s="2" t="n">
        <v>6</v>
      </c>
      <c r="J489" s="2" t="inlineStr">
        <is>
          <t>TitLowCost</t>
        </is>
      </c>
      <c r="K489" s="2" t="n">
        <v>78</v>
      </c>
      <c r="L489" s="2" t="n">
        <v>6.4</v>
      </c>
      <c r="M489" s="2" t="n">
        <v>0</v>
      </c>
      <c r="N489" s="2" t="inlineStr">
        <is>
          <t>P</t>
        </is>
      </c>
      <c r="O489" s="2" t="n">
        <v>1</v>
      </c>
      <c r="P489" s="2" t="inlineStr">
        <is>
          <t>Normale</t>
        </is>
      </c>
    </row>
    <row r="490">
      <c r="A490" s="2" t="inlineStr">
        <is>
          <t>Piccoli</t>
        </is>
      </c>
      <c r="B490" s="2" t="inlineStr">
        <is>
          <t>Bologna</t>
        </is>
      </c>
      <c r="C490" s="2" t="inlineStr">
        <is>
          <t>A</t>
        </is>
      </c>
      <c r="D490" s="2" t="inlineStr">
        <is>
          <t>Pc</t>
        </is>
      </c>
      <c r="E490" s="2" t="n">
        <v>8</v>
      </c>
      <c r="F490" s="2" t="n">
        <v>29</v>
      </c>
      <c r="G490" s="2" t="n">
        <v>3.25</v>
      </c>
      <c r="H490" s="2" t="n">
        <v>10.3</v>
      </c>
      <c r="I490" s="2" t="n">
        <v>4</v>
      </c>
      <c r="J490" s="2" t="inlineStr">
        <is>
          <t>OttimoTit</t>
        </is>
      </c>
      <c r="K490" s="2" t="n">
        <v>88</v>
      </c>
      <c r="L490" s="2" t="n">
        <v>6.58</v>
      </c>
      <c r="M490" s="2" t="n">
        <v>0</v>
      </c>
      <c r="N490" s="2" t="inlineStr">
        <is>
          <t>B</t>
        </is>
      </c>
      <c r="O490" s="2" t="n">
        <v>2</v>
      </c>
      <c r="P490" s="2" t="inlineStr">
        <is>
          <t>🟡 Ballottaggio</t>
        </is>
      </c>
    </row>
    <row r="491">
      <c r="A491" s="2" t="inlineStr">
        <is>
          <t>Vitinha O.</t>
        </is>
      </c>
      <c r="B491" s="2" t="inlineStr">
        <is>
          <t>Genoa</t>
        </is>
      </c>
      <c r="C491" s="2" t="inlineStr">
        <is>
          <t>A</t>
        </is>
      </c>
      <c r="D491" s="2" t="inlineStr">
        <is>
          <t>A</t>
        </is>
      </c>
      <c r="E491" s="2" t="n">
        <v>8</v>
      </c>
      <c r="F491" s="2" t="n">
        <v>13</v>
      </c>
      <c r="G491" s="2" t="n">
        <v>1.55</v>
      </c>
      <c r="H491" s="2" t="n">
        <v>0.5</v>
      </c>
      <c r="I491" s="2" t="n">
        <v>6</v>
      </c>
      <c r="J491" s="2" t="inlineStr">
        <is>
          <t>TitLowCost</t>
        </is>
      </c>
      <c r="K491" s="2" t="n">
        <v>92</v>
      </c>
      <c r="L491" s="2" t="n">
        <v>6.39</v>
      </c>
      <c r="M491" s="2" t="n">
        <v>10</v>
      </c>
      <c r="N491" s="2" t="inlineStr">
        <is>
          <t>T</t>
        </is>
      </c>
      <c r="O491" s="2" t="n">
        <v>1</v>
      </c>
      <c r="P491" s="2" t="inlineStr">
        <is>
          <t>Normale</t>
        </is>
      </c>
    </row>
    <row r="492">
      <c r="A492" s="2" t="inlineStr">
        <is>
          <t>Boga</t>
        </is>
      </c>
      <c r="B492" s="2" t="inlineStr">
        <is>
          <t>Juventus</t>
        </is>
      </c>
      <c r="C492" s="2" t="inlineStr">
        <is>
          <t>A</t>
        </is>
      </c>
      <c r="D492" s="2" t="inlineStr">
        <is>
          <t>W/A</t>
        </is>
      </c>
      <c r="E492" s="2" t="n">
        <v>7</v>
      </c>
      <c r="F492" s="2" t="n">
        <v>27</v>
      </c>
      <c r="G492" s="2" t="n">
        <v>3.95</v>
      </c>
      <c r="H492" s="2" t="n">
        <v>0.5</v>
      </c>
      <c r="I492" s="2" t="n">
        <v>5</v>
      </c>
      <c r="J492" s="2" t="inlineStr">
        <is>
          <t>OttimoTit</t>
        </is>
      </c>
      <c r="K492" s="2" t="n">
        <v>76</v>
      </c>
      <c r="L492" s="2" t="n">
        <v>6.6</v>
      </c>
      <c r="M492" s="2" t="n">
        <v>0</v>
      </c>
      <c r="N492" s="2" t="inlineStr">
        <is>
          <t>P</t>
        </is>
      </c>
      <c r="O492" s="2" t="n">
        <v>3</v>
      </c>
      <c r="P492" s="2" t="inlineStr">
        <is>
          <t>Normale</t>
        </is>
      </c>
    </row>
    <row r="493">
      <c r="A493" s="2" t="inlineStr">
        <is>
          <t>Bonny</t>
        </is>
      </c>
      <c r="B493" s="2" t="inlineStr">
        <is>
          <t>Inter</t>
        </is>
      </c>
      <c r="C493" s="2" t="inlineStr">
        <is>
          <t>A</t>
        </is>
      </c>
      <c r="D493" s="2" t="inlineStr">
        <is>
          <t>Pc</t>
        </is>
      </c>
      <c r="E493" s="2" t="n">
        <v>7</v>
      </c>
      <c r="F493" s="2" t="n">
        <v>15</v>
      </c>
      <c r="G493" s="2" t="n">
        <v>3.05</v>
      </c>
      <c r="H493" s="2" t="n">
        <v>0.5</v>
      </c>
      <c r="I493" s="2" t="n">
        <v>6</v>
      </c>
      <c r="J493" s="2" t="inlineStr">
        <is>
          <t>OttimoTit</t>
        </is>
      </c>
      <c r="K493" s="2" t="n">
        <v>80</v>
      </c>
      <c r="L493" s="2" t="n">
        <v>6.53</v>
      </c>
      <c r="M493" s="2" t="n">
        <v>0</v>
      </c>
      <c r="N493" s="2" t="inlineStr">
        <is>
          <t>P</t>
        </is>
      </c>
      <c r="O493" s="2" t="n">
        <v>2</v>
      </c>
      <c r="P493" s="2" t="inlineStr">
        <is>
          <t>Normale</t>
        </is>
      </c>
    </row>
    <row r="494">
      <c r="A494" s="2" t="inlineStr">
        <is>
          <t>Gnonto</t>
        </is>
      </c>
      <c r="B494" s="2" t="inlineStr">
        <is>
          <t>Fiorentina</t>
        </is>
      </c>
      <c r="C494" s="2" t="inlineStr">
        <is>
          <t>A</t>
        </is>
      </c>
      <c r="D494" s="2" t="inlineStr">
        <is>
          <t>W/A</t>
        </is>
      </c>
      <c r="E494" s="2" t="n">
        <v>7</v>
      </c>
      <c r="F494" s="2" t="n">
        <v>25</v>
      </c>
      <c r="G494" s="2" t="n">
        <v>1.5</v>
      </c>
      <c r="H494" s="2" t="n">
        <v>0.5</v>
      </c>
      <c r="I494" s="2" t="n">
        <v>6</v>
      </c>
      <c r="J494" s="2" t="inlineStr">
        <is>
          <t>TitLowCost</t>
        </is>
      </c>
      <c r="K494" s="2" t="n">
        <v>76</v>
      </c>
      <c r="L494" s="2" t="n">
        <v>6.32</v>
      </c>
      <c r="M494" s="2" t="n">
        <v>0</v>
      </c>
      <c r="N494" s="2" t="inlineStr">
        <is>
          <t>P</t>
        </is>
      </c>
      <c r="O494" s="2" t="n">
        <v>1</v>
      </c>
      <c r="P494" s="2" t="inlineStr">
        <is>
          <t>Normale</t>
        </is>
      </c>
    </row>
    <row r="495">
      <c r="A495" s="2" t="inlineStr">
        <is>
          <t>Rrahmani Al.</t>
        </is>
      </c>
      <c r="B495" s="2" t="inlineStr">
        <is>
          <t>Venezia</t>
        </is>
      </c>
      <c r="C495" s="2" t="inlineStr">
        <is>
          <t>A</t>
        </is>
      </c>
      <c r="D495" s="2" t="inlineStr">
        <is>
          <t>Pc</t>
        </is>
      </c>
      <c r="E495" s="2" t="n">
        <v>7</v>
      </c>
      <c r="F495" s="2" t="n">
        <v>13</v>
      </c>
      <c r="G495" s="2" t="n">
        <v>0.85</v>
      </c>
      <c r="H495" s="2" t="n">
        <v>0.5</v>
      </c>
      <c r="I495" s="2" t="n">
        <v>6</v>
      </c>
      <c r="J495" s="2" t="inlineStr">
        <is>
          <t>TitLowCost</t>
        </is>
      </c>
      <c r="K495" s="2" t="n">
        <v>78</v>
      </c>
      <c r="L495" s="2" t="n">
        <v>6.4</v>
      </c>
      <c r="M495" s="2" t="n">
        <v>0</v>
      </c>
      <c r="N495" s="2" t="inlineStr">
        <is>
          <t>P</t>
        </is>
      </c>
      <c r="O495" s="2" t="n">
        <v>1</v>
      </c>
      <c r="P495" s="2" t="inlineStr">
        <is>
          <t>Normale</t>
        </is>
      </c>
    </row>
    <row r="496">
      <c r="A496" s="2" t="inlineStr">
        <is>
          <t>Varela G.</t>
        </is>
      </c>
      <c r="B496" s="2" t="inlineStr">
        <is>
          <t>Monza</t>
        </is>
      </c>
      <c r="C496" s="2" t="inlineStr">
        <is>
          <t>A</t>
        </is>
      </c>
      <c r="D496" s="2" t="inlineStr">
        <is>
          <t>Pc</t>
        </is>
      </c>
      <c r="E496" s="2" t="n">
        <v>7</v>
      </c>
      <c r="F496" s="2" t="n">
        <v>40</v>
      </c>
      <c r="G496" s="2" t="n">
        <v>3.45</v>
      </c>
      <c r="H496" s="2" t="n">
        <v>0.5</v>
      </c>
      <c r="I496" s="2" t="n">
        <v>5</v>
      </c>
      <c r="J496" s="2" t="inlineStr">
        <is>
          <t>OttimoTit</t>
        </is>
      </c>
      <c r="K496" s="2" t="n">
        <v>83</v>
      </c>
      <c r="L496" s="2" t="n">
        <v>6.52</v>
      </c>
      <c r="M496" s="2" t="n">
        <v>0</v>
      </c>
      <c r="N496" s="2" t="inlineStr">
        <is>
          <t>T</t>
        </is>
      </c>
      <c r="O496" s="2" t="n">
        <v>3</v>
      </c>
      <c r="P496" s="2" t="inlineStr">
        <is>
          <t>🔴 Infortunato/Dubbio</t>
        </is>
      </c>
    </row>
    <row r="497">
      <c r="A497" s="2" t="inlineStr">
        <is>
          <t>Kvernadze</t>
        </is>
      </c>
      <c r="B497" s="2" t="inlineStr">
        <is>
          <t>Frosinone</t>
        </is>
      </c>
      <c r="C497" s="2" t="inlineStr">
        <is>
          <t>A</t>
        </is>
      </c>
      <c r="D497" s="2" t="inlineStr">
        <is>
          <t>W/A</t>
        </is>
      </c>
      <c r="E497" s="2" t="n">
        <v>6</v>
      </c>
      <c r="F497" s="2" t="n">
        <v>24</v>
      </c>
      <c r="G497" s="2" t="n">
        <v>3.65</v>
      </c>
      <c r="H497" s="2" t="n">
        <v>0.5</v>
      </c>
      <c r="I497" s="2" t="n">
        <v>6</v>
      </c>
      <c r="J497" s="2" t="inlineStr">
        <is>
          <t>TitLowCost</t>
        </is>
      </c>
      <c r="K497" s="2" t="n">
        <v>88</v>
      </c>
      <c r="L497" s="2" t="n">
        <v>6.36</v>
      </c>
      <c r="M497" s="2" t="n">
        <v>0</v>
      </c>
      <c r="N497" s="2" t="inlineStr">
        <is>
          <t>T</t>
        </is>
      </c>
      <c r="O497" s="2" t="n">
        <v>2.5</v>
      </c>
      <c r="P497" s="2" t="inlineStr">
        <is>
          <t>Normale</t>
        </is>
      </c>
    </row>
    <row r="498">
      <c r="A498" s="2" t="inlineStr">
        <is>
          <t>Neres</t>
        </is>
      </c>
      <c r="B498" s="2" t="inlineStr">
        <is>
          <t>Napoli</t>
        </is>
      </c>
      <c r="C498" s="2" t="inlineStr">
        <is>
          <t>A</t>
        </is>
      </c>
      <c r="D498" s="2" t="inlineStr">
        <is>
          <t>W/A</t>
        </is>
      </c>
      <c r="E498" s="2" t="n">
        <v>6</v>
      </c>
      <c r="F498" s="2" t="n">
        <v>20</v>
      </c>
      <c r="G498" s="2" t="n">
        <v>3.9</v>
      </c>
      <c r="H498" s="2" t="n">
        <v>1.7</v>
      </c>
      <c r="I498" s="2" t="n">
        <v>5</v>
      </c>
      <c r="J498" s="2" t="inlineStr">
        <is>
          <t>Jolly</t>
        </is>
      </c>
      <c r="K498" s="2" t="n">
        <v>75</v>
      </c>
      <c r="L498" s="2" t="n">
        <v>6.65</v>
      </c>
      <c r="M498" s="2" t="n">
        <v>0</v>
      </c>
      <c r="N498" s="2" t="inlineStr">
        <is>
          <t>P</t>
        </is>
      </c>
      <c r="O498" s="2" t="n">
        <v>2</v>
      </c>
      <c r="P498" s="2" t="inlineStr">
        <is>
          <t>Normale</t>
        </is>
      </c>
    </row>
    <row r="499">
      <c r="A499" s="2" t="inlineStr">
        <is>
          <t>Noslin</t>
        </is>
      </c>
      <c r="B499" s="2" t="inlineStr">
        <is>
          <t>Lazio</t>
        </is>
      </c>
      <c r="C499" s="2" t="inlineStr">
        <is>
          <t>A</t>
        </is>
      </c>
      <c r="D499" s="2" t="inlineStr">
        <is>
          <t>A</t>
        </is>
      </c>
      <c r="E499" s="2" t="n">
        <v>6</v>
      </c>
      <c r="F499" s="2" t="n">
        <v>8</v>
      </c>
      <c r="G499" s="2" t="n">
        <v>1.05</v>
      </c>
      <c r="H499" s="2" t="n">
        <v>0.5</v>
      </c>
      <c r="I499" s="2" t="n">
        <v>6</v>
      </c>
      <c r="J499" s="2" t="inlineStr">
        <is>
          <t>Jolly</t>
        </is>
      </c>
      <c r="K499" s="2" t="n">
        <v>72</v>
      </c>
      <c r="L499" s="2" t="n">
        <v>6.34</v>
      </c>
      <c r="M499" s="2" t="n">
        <v>0</v>
      </c>
      <c r="N499" s="2" t="inlineStr">
        <is>
          <t>P</t>
        </is>
      </c>
      <c r="O499" s="2" t="n">
        <v>1</v>
      </c>
      <c r="P499" s="2" t="inlineStr">
        <is>
          <t>Normale</t>
        </is>
      </c>
    </row>
    <row r="500">
      <c r="A500" s="2" t="inlineStr">
        <is>
          <t>Stulic</t>
        </is>
      </c>
      <c r="B500" s="2" t="inlineStr">
        <is>
          <t>Lecce</t>
        </is>
      </c>
      <c r="C500" s="2" t="inlineStr">
        <is>
          <t>A</t>
        </is>
      </c>
      <c r="D500" s="2" t="inlineStr">
        <is>
          <t>Pc</t>
        </is>
      </c>
      <c r="E500" s="2" t="n">
        <v>6</v>
      </c>
      <c r="F500" s="2" t="n">
        <v>11</v>
      </c>
      <c r="G500" s="2" t="n">
        <v>1</v>
      </c>
      <c r="H500" s="2" t="n">
        <v>0.5</v>
      </c>
      <c r="I500" s="2" t="n">
        <v>6</v>
      </c>
      <c r="J500" s="2" t="inlineStr">
        <is>
          <t>TitLowCost</t>
        </is>
      </c>
      <c r="K500" s="2" t="n">
        <v>84</v>
      </c>
      <c r="L500" s="2" t="n">
        <v>6.37</v>
      </c>
      <c r="M500" s="2" t="n">
        <v>20</v>
      </c>
      <c r="N500" s="2" t="inlineStr">
        <is>
          <t>B</t>
        </is>
      </c>
      <c r="O500" s="2" t="n">
        <v>1</v>
      </c>
      <c r="P500" s="2" t="inlineStr">
        <is>
          <t>🟡 Ballottaggio</t>
        </is>
      </c>
    </row>
    <row r="501">
      <c r="A501" s="2" t="inlineStr">
        <is>
          <t>Sulemana K.</t>
        </is>
      </c>
      <c r="B501" s="2" t="inlineStr">
        <is>
          <t>Atalanta</t>
        </is>
      </c>
      <c r="C501" s="2" t="inlineStr">
        <is>
          <t>A</t>
        </is>
      </c>
      <c r="D501" s="2" t="inlineStr">
        <is>
          <t>A</t>
        </is>
      </c>
      <c r="E501" s="2" t="n">
        <v>6</v>
      </c>
      <c r="F501" s="2" t="n">
        <v>8</v>
      </c>
      <c r="G501" s="2" t="n">
        <v>0.95</v>
      </c>
      <c r="H501" s="2" t="n">
        <v>0.5</v>
      </c>
      <c r="I501" s="2" t="n">
        <v>6</v>
      </c>
      <c r="J501" s="2" t="inlineStr">
        <is>
          <t>Riserva</t>
        </is>
      </c>
      <c r="K501" s="2" t="n">
        <v>44</v>
      </c>
      <c r="L501" s="2" t="n">
        <v>6.35</v>
      </c>
      <c r="M501" s="2" t="n">
        <v>0</v>
      </c>
      <c r="N501" s="2" t="inlineStr">
        <is>
          <t>P</t>
        </is>
      </c>
      <c r="O501" s="2" t="n">
        <v>1</v>
      </c>
      <c r="P501" s="2" t="inlineStr">
        <is>
          <t>🔴 Infortunato/Dubbio</t>
        </is>
      </c>
    </row>
    <row r="502">
      <c r="A502" s="2" t="inlineStr">
        <is>
          <t>Zapata D.</t>
        </is>
      </c>
      <c r="B502" s="2" t="inlineStr">
        <is>
          <t>Torino</t>
        </is>
      </c>
      <c r="C502" s="2" t="inlineStr">
        <is>
          <t>A</t>
        </is>
      </c>
      <c r="D502" s="2" t="inlineStr">
        <is>
          <t>Pc</t>
        </is>
      </c>
      <c r="E502" s="2" t="n">
        <v>6</v>
      </c>
      <c r="F502" s="2" t="n">
        <v>12</v>
      </c>
      <c r="G502" s="2" t="n">
        <v>1.15</v>
      </c>
      <c r="H502" s="2" t="n">
        <v>0.5</v>
      </c>
      <c r="I502" s="2" t="n">
        <v>6</v>
      </c>
      <c r="J502" s="2" t="inlineStr">
        <is>
          <t>Jolly</t>
        </is>
      </c>
      <c r="K502" s="2" t="n">
        <v>72</v>
      </c>
      <c r="L502" s="2" t="n">
        <v>6.46</v>
      </c>
      <c r="M502" s="2" t="n">
        <v>10</v>
      </c>
      <c r="N502" s="2" t="inlineStr">
        <is>
          <t>P</t>
        </is>
      </c>
      <c r="O502" s="2" t="n">
        <v>1</v>
      </c>
      <c r="P502" s="2" t="inlineStr">
        <is>
          <t>Normale</t>
        </is>
      </c>
    </row>
    <row r="503">
      <c r="A503" s="2" t="inlineStr">
        <is>
          <t>Zeballos</t>
        </is>
      </c>
      <c r="B503" s="2" t="inlineStr">
        <is>
          <t>Monza</t>
        </is>
      </c>
      <c r="C503" s="2" t="inlineStr">
        <is>
          <t>A</t>
        </is>
      </c>
      <c r="D503" s="2" t="inlineStr">
        <is>
          <t>A</t>
        </is>
      </c>
      <c r="E503" s="2" t="n">
        <v>6</v>
      </c>
      <c r="F503" s="2" t="n">
        <v>18</v>
      </c>
      <c r="G503" s="2" t="n">
        <v>1.3</v>
      </c>
      <c r="H503" s="2" t="n">
        <v>0.5</v>
      </c>
      <c r="I503" s="2" t="n">
        <v>6</v>
      </c>
      <c r="J503" s="2" t="inlineStr">
        <is>
          <t>Riserva</t>
        </is>
      </c>
      <c r="K503" s="2" t="n">
        <v>56</v>
      </c>
      <c r="L503" s="2" t="n">
        <v>6.15</v>
      </c>
      <c r="M503" s="2" t="n">
        <v>0</v>
      </c>
      <c r="N503" s="2" t="inlineStr">
        <is>
          <t>P</t>
        </is>
      </c>
      <c r="O503" s="2" t="n">
        <v>1</v>
      </c>
      <c r="P503" s="2" t="inlineStr">
        <is>
          <t>🪑 Riserva Fissa (da fasciaFc)</t>
        </is>
      </c>
    </row>
    <row r="504">
      <c r="A504" s="2" t="inlineStr">
        <is>
          <t>Birligea</t>
        </is>
      </c>
      <c r="B504" s="2" t="inlineStr">
        <is>
          <t>Frosinone</t>
        </is>
      </c>
      <c r="C504" s="2" t="inlineStr">
        <is>
          <t>A</t>
        </is>
      </c>
      <c r="D504" s="2" t="inlineStr">
        <is>
          <t>Pc</t>
        </is>
      </c>
      <c r="E504" s="2" t="n">
        <v>5</v>
      </c>
      <c r="F504" s="2" t="n">
        <v>11</v>
      </c>
      <c r="G504" s="2" t="n">
        <v>0.95</v>
      </c>
      <c r="H504" s="2" t="n">
        <v>0.5</v>
      </c>
      <c r="I504" s="2" t="n">
        <v>6</v>
      </c>
      <c r="J504" s="2" t="inlineStr">
        <is>
          <t>Riserva</t>
        </is>
      </c>
      <c r="K504" s="2" t="n">
        <v>50</v>
      </c>
      <c r="L504" s="2" t="n">
        <v>6.24</v>
      </c>
      <c r="M504" s="2" t="n">
        <v>0</v>
      </c>
      <c r="N504" s="2" t="inlineStr">
        <is>
          <t>P</t>
        </is>
      </c>
      <c r="O504" s="2" t="n">
        <v>1</v>
      </c>
      <c r="P504" s="2" t="inlineStr">
        <is>
          <t>🪑 Riserva Fissa (da fasciaFc)</t>
        </is>
      </c>
    </row>
    <row r="505">
      <c r="A505" s="2" t="inlineStr">
        <is>
          <t>Maldini</t>
        </is>
      </c>
      <c r="B505" s="2" t="inlineStr">
        <is>
          <t>Cagliari</t>
        </is>
      </c>
      <c r="C505" s="2" t="inlineStr">
        <is>
          <t>A</t>
        </is>
      </c>
      <c r="D505" s="2" t="inlineStr">
        <is>
          <t>T/A</t>
        </is>
      </c>
      <c r="E505" s="2" t="n">
        <v>5</v>
      </c>
      <c r="F505" s="2" t="n">
        <v>21</v>
      </c>
      <c r="G505" s="2" t="n">
        <v>2.9</v>
      </c>
      <c r="H505" s="2" t="n">
        <v>0.5</v>
      </c>
      <c r="I505" s="2" t="n">
        <v>5</v>
      </c>
      <c r="J505" s="2" t="inlineStr">
        <is>
          <t>OttimoTit</t>
        </is>
      </c>
      <c r="K505" s="2" t="n">
        <v>86</v>
      </c>
      <c r="L505" s="2" t="n">
        <v>6.48</v>
      </c>
      <c r="M505" s="2" t="n">
        <v>0</v>
      </c>
      <c r="N505" s="2" t="inlineStr">
        <is>
          <t>T</t>
        </is>
      </c>
      <c r="O505" s="2" t="n">
        <v>2</v>
      </c>
      <c r="P505" s="2" t="inlineStr">
        <is>
          <t>Normale</t>
        </is>
      </c>
    </row>
    <row r="506">
      <c r="A506" s="2" t="inlineStr">
        <is>
          <t>Ngonge</t>
        </is>
      </c>
      <c r="B506" s="2" t="inlineStr">
        <is>
          <t>Monza</t>
        </is>
      </c>
      <c r="C506" s="2" t="inlineStr">
        <is>
          <t>A</t>
        </is>
      </c>
      <c r="D506" s="2" t="inlineStr">
        <is>
          <t>A</t>
        </is>
      </c>
      <c r="E506" s="2" t="n">
        <v>5</v>
      </c>
      <c r="F506" s="2" t="n">
        <v>13</v>
      </c>
      <c r="G506" s="2" t="n">
        <v>1.05</v>
      </c>
      <c r="H506" s="2" t="n">
        <v>0.5</v>
      </c>
      <c r="I506" s="2" t="n">
        <v>6</v>
      </c>
      <c r="J506" s="2" t="inlineStr">
        <is>
          <t>TitLowCost</t>
        </is>
      </c>
      <c r="K506" s="2" t="n">
        <v>88</v>
      </c>
      <c r="L506" s="2" t="n">
        <v>6.34</v>
      </c>
      <c r="M506" s="2" t="n">
        <v>0</v>
      </c>
      <c r="N506" s="2" t="inlineStr">
        <is>
          <t>B</t>
        </is>
      </c>
      <c r="O506" s="2" t="n">
        <v>1</v>
      </c>
      <c r="P506" s="2" t="inlineStr">
        <is>
          <t>🟡 Ballottaggio</t>
        </is>
      </c>
    </row>
    <row r="507">
      <c r="A507" s="2" t="inlineStr">
        <is>
          <t>Adorante</t>
        </is>
      </c>
      <c r="B507" s="2" t="inlineStr">
        <is>
          <t>Venezia</t>
        </is>
      </c>
      <c r="C507" s="2" t="inlineStr">
        <is>
          <t>A</t>
        </is>
      </c>
      <c r="D507" s="2" t="inlineStr">
        <is>
          <t>Pc</t>
        </is>
      </c>
      <c r="E507" s="2" t="n">
        <v>4</v>
      </c>
      <c r="F507" s="2" t="n">
        <v>8</v>
      </c>
      <c r="G507" s="2" t="n">
        <v>0.85</v>
      </c>
      <c r="H507" s="2" t="n">
        <v>0.5</v>
      </c>
      <c r="I507" s="2" t="n">
        <v>6</v>
      </c>
      <c r="J507" s="2" t="inlineStr">
        <is>
          <t>Riserva</t>
        </is>
      </c>
      <c r="K507" s="2" t="n">
        <v>48</v>
      </c>
      <c r="L507" s="2" t="n">
        <v>6.52</v>
      </c>
      <c r="M507" s="2" t="n">
        <v>0</v>
      </c>
      <c r="N507" s="2" t="inlineStr">
        <is>
          <t>P</t>
        </is>
      </c>
      <c r="O507" s="2" t="n">
        <v>1</v>
      </c>
      <c r="P507" s="2" t="inlineStr">
        <is>
          <t>🔴 Infortunato/Dubbio</t>
        </is>
      </c>
    </row>
    <row r="508">
      <c r="A508" s="2" t="inlineStr">
        <is>
          <t>Camarda</t>
        </is>
      </c>
      <c r="B508" s="2" t="inlineStr">
        <is>
          <t>Milan</t>
        </is>
      </c>
      <c r="C508" s="2" t="inlineStr">
        <is>
          <t>A</t>
        </is>
      </c>
      <c r="D508" s="2" t="inlineStr">
        <is>
          <t>Pc</t>
        </is>
      </c>
      <c r="E508" s="2" t="n">
        <v>4</v>
      </c>
      <c r="F508" s="2" t="n">
        <v>20</v>
      </c>
      <c r="G508" s="2" t="n">
        <v>1.15</v>
      </c>
      <c r="H508" s="2" t="n">
        <v>0.5</v>
      </c>
      <c r="I508" s="2" t="n">
        <v>6</v>
      </c>
      <c r="J508" s="2" t="inlineStr">
        <is>
          <t>Jolly</t>
        </is>
      </c>
      <c r="K508" s="2" t="n">
        <v>71</v>
      </c>
      <c r="L508" s="2" t="n">
        <v>6.21</v>
      </c>
      <c r="M508" s="2" t="n">
        <v>0</v>
      </c>
      <c r="N508" s="2" t="inlineStr">
        <is>
          <t>P</t>
        </is>
      </c>
      <c r="O508" s="2" t="n">
        <v>1</v>
      </c>
      <c r="P508" s="2" t="inlineStr">
        <is>
          <t>Normale</t>
        </is>
      </c>
    </row>
    <row r="509">
      <c r="A509" s="2" t="inlineStr">
        <is>
          <t>Fatah</t>
        </is>
      </c>
      <c r="B509" s="2" t="inlineStr">
        <is>
          <t>Lecce</t>
        </is>
      </c>
      <c r="C509" s="2" t="inlineStr">
        <is>
          <t>A</t>
        </is>
      </c>
      <c r="D509" s="2" t="inlineStr">
        <is>
          <t>W/A</t>
        </is>
      </c>
      <c r="E509" s="2" t="n">
        <v>4</v>
      </c>
      <c r="F509" s="2" t="n">
        <v>14</v>
      </c>
      <c r="G509" s="2" t="n">
        <v>1.15</v>
      </c>
      <c r="H509" s="2" t="n">
        <v>0.5</v>
      </c>
      <c r="I509" s="2" t="n">
        <v>6</v>
      </c>
      <c r="J509" s="2" t="inlineStr">
        <is>
          <t>Jolly</t>
        </is>
      </c>
      <c r="K509" s="2" t="n">
        <v>75</v>
      </c>
      <c r="L509" s="2" t="n">
        <v>6.37</v>
      </c>
      <c r="M509" s="2" t="n">
        <v>0</v>
      </c>
      <c r="N509" s="2" t="inlineStr">
        <is>
          <t>P</t>
        </is>
      </c>
      <c r="O509" s="2" t="n">
        <v>1</v>
      </c>
      <c r="P509" s="2" t="inlineStr">
        <is>
          <t>Normale</t>
        </is>
      </c>
    </row>
    <row r="510">
      <c r="A510" s="2" t="inlineStr">
        <is>
          <t>Frigan</t>
        </is>
      </c>
      <c r="B510" s="2" t="inlineStr">
        <is>
          <t>Parma</t>
        </is>
      </c>
      <c r="C510" s="2" t="inlineStr">
        <is>
          <t>A</t>
        </is>
      </c>
      <c r="D510" s="2" t="inlineStr">
        <is>
          <t>A</t>
        </is>
      </c>
      <c r="E510" s="2" t="n">
        <v>4</v>
      </c>
      <c r="F510" s="2" t="n">
        <v>6</v>
      </c>
      <c r="G510" s="2" t="n">
        <v>0.5</v>
      </c>
      <c r="H510" s="2" t="n">
        <v>0.5</v>
      </c>
      <c r="I510" s="2" t="n">
        <v>6</v>
      </c>
      <c r="J510" s="2" t="inlineStr">
        <is>
          <t>Riserva</t>
        </is>
      </c>
      <c r="K510" s="2" t="n">
        <v>49</v>
      </c>
      <c r="L510" s="2" t="n">
        <v>6.16</v>
      </c>
      <c r="M510" s="2" t="n">
        <v>0</v>
      </c>
      <c r="N510" s="2" t="inlineStr">
        <is>
          <t>P</t>
        </is>
      </c>
      <c r="O510" s="2" t="n">
        <v>1</v>
      </c>
      <c r="P510" s="2" t="inlineStr">
        <is>
          <t>🟡 Ballottaggio</t>
        </is>
      </c>
    </row>
    <row r="511">
      <c r="A511" s="2" t="inlineStr">
        <is>
          <t>Giovane</t>
        </is>
      </c>
      <c r="B511" s="2" t="inlineStr">
        <is>
          <t>Napoli</t>
        </is>
      </c>
      <c r="C511" s="2" t="inlineStr">
        <is>
          <t>A</t>
        </is>
      </c>
      <c r="D511" s="2" t="inlineStr">
        <is>
          <t>A</t>
        </is>
      </c>
      <c r="E511" s="2" t="n">
        <v>4</v>
      </c>
      <c r="F511" s="2" t="n">
        <v>7</v>
      </c>
      <c r="G511" s="2" t="n">
        <v>0.85</v>
      </c>
      <c r="H511" s="2" t="n">
        <v>0.5</v>
      </c>
      <c r="I511" s="2" t="n">
        <v>6</v>
      </c>
      <c r="J511" s="2" t="inlineStr">
        <is>
          <t>Riserva</t>
        </is>
      </c>
      <c r="K511" s="2" t="n">
        <v>52</v>
      </c>
      <c r="L511" s="2" t="n">
        <v>6.31</v>
      </c>
      <c r="M511" s="2" t="n">
        <v>0</v>
      </c>
      <c r="N511" s="2" t="inlineStr">
        <is>
          <t>P</t>
        </is>
      </c>
      <c r="O511" s="2" t="n">
        <v>1</v>
      </c>
      <c r="P511" s="2" t="inlineStr">
        <is>
          <t>🪑 Riserva Fissa (da fasciaFc)</t>
        </is>
      </c>
    </row>
    <row r="512">
      <c r="A512" s="2" t="inlineStr">
        <is>
          <t>Gueye</t>
        </is>
      </c>
      <c r="B512" s="2" t="inlineStr">
        <is>
          <t>Udinese</t>
        </is>
      </c>
      <c r="C512" s="2" t="inlineStr">
        <is>
          <t>A</t>
        </is>
      </c>
      <c r="D512" s="2" t="inlineStr">
        <is>
          <t>Pc</t>
        </is>
      </c>
      <c r="E512" s="2" t="n">
        <v>4</v>
      </c>
      <c r="F512" s="2" t="n">
        <v>7</v>
      </c>
      <c r="G512" s="2" t="n">
        <v>1.05</v>
      </c>
      <c r="H512" s="2" t="n">
        <v>0.5</v>
      </c>
      <c r="I512" s="2" t="n">
        <v>6</v>
      </c>
      <c r="J512" s="2" t="inlineStr">
        <is>
          <t>Riserva</t>
        </is>
      </c>
      <c r="K512" s="2" t="n">
        <v>60</v>
      </c>
      <c r="L512" s="2" t="n">
        <v>6.24</v>
      </c>
      <c r="M512" s="2" t="n">
        <v>0</v>
      </c>
      <c r="N512" s="2" t="inlineStr">
        <is>
          <t>P</t>
        </is>
      </c>
      <c r="O512" s="2" t="n">
        <v>1</v>
      </c>
      <c r="P512" s="2" t="inlineStr">
        <is>
          <t>🪑 Riserva Fissa (da fasciaFc)</t>
        </is>
      </c>
    </row>
    <row r="513">
      <c r="A513" s="2" t="inlineStr">
        <is>
          <t>Havel</t>
        </is>
      </c>
      <c r="B513" s="2" t="inlineStr">
        <is>
          <t>Genoa</t>
        </is>
      </c>
      <c r="C513" s="2" t="inlineStr">
        <is>
          <t>A</t>
        </is>
      </c>
      <c r="D513" s="2" t="inlineStr">
        <is>
          <t>Pc</t>
        </is>
      </c>
      <c r="E513" s="2" t="n">
        <v>4</v>
      </c>
      <c r="F513" s="2" t="n">
        <v>5</v>
      </c>
      <c r="G513" s="2" t="n">
        <v>0.5</v>
      </c>
      <c r="H513" s="2" t="n">
        <v>0.5</v>
      </c>
      <c r="I513" s="2" t="n">
        <v>6</v>
      </c>
      <c r="J513" s="2" t="inlineStr">
        <is>
          <t>Riserva</t>
        </is>
      </c>
      <c r="K513" s="2" t="n">
        <v>64</v>
      </c>
      <c r="L513" s="2" t="n">
        <v>6.56</v>
      </c>
      <c r="M513" s="2" t="n">
        <v>0</v>
      </c>
      <c r="N513" s="2" t="inlineStr">
        <is>
          <t>P</t>
        </is>
      </c>
      <c r="O513" s="2" t="n">
        <v>1</v>
      </c>
      <c r="P513" s="2" t="inlineStr">
        <is>
          <t>🪑 Riserva Fissa (da fasciaFc)</t>
        </is>
      </c>
    </row>
    <row r="514">
      <c r="A514" s="2" t="inlineStr">
        <is>
          <t>Kulenovic</t>
        </is>
      </c>
      <c r="B514" s="2" t="inlineStr">
        <is>
          <t>Torino</t>
        </is>
      </c>
      <c r="C514" s="2" t="inlineStr">
        <is>
          <t>A</t>
        </is>
      </c>
      <c r="D514" s="2" t="inlineStr">
        <is>
          <t>Pc</t>
        </is>
      </c>
      <c r="E514" s="2" t="n">
        <v>4</v>
      </c>
      <c r="F514" s="2" t="n">
        <v>9</v>
      </c>
      <c r="G514" s="2" t="n">
        <v>0.5</v>
      </c>
      <c r="H514" s="2" t="n">
        <v>0.5</v>
      </c>
      <c r="I514" s="2" t="n">
        <v>6</v>
      </c>
      <c r="J514" s="2" t="inlineStr">
        <is>
          <t>Jolly</t>
        </is>
      </c>
      <c r="K514" s="2" t="n">
        <v>74</v>
      </c>
      <c r="L514" s="2" t="n">
        <v>6.28</v>
      </c>
      <c r="M514" s="2" t="n">
        <v>0</v>
      </c>
      <c r="N514" s="2" t="inlineStr">
        <is>
          <t>P</t>
        </is>
      </c>
      <c r="O514" s="2" t="n">
        <v>1</v>
      </c>
      <c r="P514" s="2" t="inlineStr">
        <is>
          <t>Normale</t>
        </is>
      </c>
    </row>
    <row r="515">
      <c r="A515" s="2" t="inlineStr">
        <is>
          <t>Lang</t>
        </is>
      </c>
      <c r="B515" s="2" t="inlineStr">
        <is>
          <t>Napoli</t>
        </is>
      </c>
      <c r="C515" s="2" t="inlineStr">
        <is>
          <t>A</t>
        </is>
      </c>
      <c r="D515" s="2" t="inlineStr">
        <is>
          <t>A</t>
        </is>
      </c>
      <c r="E515" s="2" t="n">
        <v>4</v>
      </c>
      <c r="F515" s="2" t="n">
        <v>14</v>
      </c>
      <c r="G515" s="2" t="n">
        <v>1.55</v>
      </c>
      <c r="H515" s="2" t="n">
        <v>0.5</v>
      </c>
      <c r="I515" s="2" t="n">
        <v>6</v>
      </c>
      <c r="J515" s="2" t="inlineStr">
        <is>
          <t>TitLowCost</t>
        </is>
      </c>
      <c r="K515" s="2" t="n">
        <v>76</v>
      </c>
      <c r="L515" s="2" t="n">
        <v>6.56</v>
      </c>
      <c r="M515" s="2" t="n">
        <v>0</v>
      </c>
      <c r="N515" s="2" t="inlineStr">
        <is>
          <t>B</t>
        </is>
      </c>
      <c r="O515" s="2" t="n">
        <v>1</v>
      </c>
      <c r="P515" s="2" t="inlineStr">
        <is>
          <t>🟡 Ballottaggio</t>
        </is>
      </c>
    </row>
    <row r="516">
      <c r="A516" s="2" t="inlineStr">
        <is>
          <t>Lucca</t>
        </is>
      </c>
      <c r="B516" s="2" t="inlineStr">
        <is>
          <t>Napoli</t>
        </is>
      </c>
      <c r="C516" s="2" t="inlineStr">
        <is>
          <t>A</t>
        </is>
      </c>
      <c r="D516" s="2" t="inlineStr">
        <is>
          <t>Pc</t>
        </is>
      </c>
      <c r="E516" s="2" t="n">
        <v>4</v>
      </c>
      <c r="F516" s="2" t="n">
        <v>12</v>
      </c>
      <c r="G516" s="2" t="n">
        <v>1.15</v>
      </c>
      <c r="H516" s="2" t="n">
        <v>0.5</v>
      </c>
      <c r="I516" s="2" t="n">
        <v>6</v>
      </c>
      <c r="J516" s="2" t="inlineStr">
        <is>
          <t>Riserva</t>
        </is>
      </c>
      <c r="K516" s="2" t="n">
        <v>52</v>
      </c>
      <c r="L516" s="2" t="n">
        <v>6.28</v>
      </c>
      <c r="M516" s="2" t="n">
        <v>0</v>
      </c>
      <c r="N516" s="2" t="inlineStr">
        <is>
          <t>P</t>
        </is>
      </c>
      <c r="O516" s="2" t="n">
        <v>1</v>
      </c>
      <c r="P516" s="2" t="inlineStr">
        <is>
          <t>🪑 Riserva Fissa (da fasciaFc)</t>
        </is>
      </c>
    </row>
    <row r="517">
      <c r="A517" s="2" t="inlineStr">
        <is>
          <t>Mendy P.</t>
        </is>
      </c>
      <c r="B517" s="2" t="inlineStr">
        <is>
          <t>Cagliari</t>
        </is>
      </c>
      <c r="C517" s="2" t="inlineStr">
        <is>
          <t>A</t>
        </is>
      </c>
      <c r="D517" s="2" t="inlineStr">
        <is>
          <t>Pc</t>
        </is>
      </c>
      <c r="E517" s="2" t="n">
        <v>4</v>
      </c>
      <c r="F517" s="2" t="n">
        <v>12</v>
      </c>
      <c r="G517" s="2" t="n">
        <v>1.1</v>
      </c>
      <c r="H517" s="2" t="n">
        <v>0.5</v>
      </c>
      <c r="I517" s="2" t="n">
        <v>6</v>
      </c>
      <c r="J517" s="2" t="inlineStr">
        <is>
          <t>TitLowCost</t>
        </is>
      </c>
      <c r="K517" s="2" t="n">
        <v>86</v>
      </c>
      <c r="L517" s="2" t="n">
        <v>6.42</v>
      </c>
      <c r="M517" s="2" t="n">
        <v>0</v>
      </c>
      <c r="N517" s="2" t="inlineStr">
        <is>
          <t>B</t>
        </is>
      </c>
      <c r="O517" s="2" t="n">
        <v>1</v>
      </c>
      <c r="P517" s="2" t="inlineStr">
        <is>
          <t>🟡 Ballottaggio</t>
        </is>
      </c>
    </row>
    <row r="518">
      <c r="A518" s="2" t="inlineStr">
        <is>
          <t>Milik</t>
        </is>
      </c>
      <c r="B518" s="2" t="inlineStr">
        <is>
          <t>Juventus</t>
        </is>
      </c>
      <c r="C518" s="2" t="inlineStr">
        <is>
          <t>A</t>
        </is>
      </c>
      <c r="D518" s="2" t="inlineStr">
        <is>
          <t>Pc</t>
        </is>
      </c>
      <c r="E518" s="2" t="n">
        <v>4</v>
      </c>
      <c r="F518" s="2" t="n">
        <v>10</v>
      </c>
      <c r="G518" s="2" t="n">
        <v>0.95</v>
      </c>
      <c r="H518" s="2" t="n">
        <v>0.5</v>
      </c>
      <c r="I518" s="2" t="n">
        <v>6</v>
      </c>
      <c r="J518" s="2" t="inlineStr">
        <is>
          <t>Riserva</t>
        </is>
      </c>
      <c r="K518" s="2" t="n">
        <v>51</v>
      </c>
      <c r="L518" s="2" t="n">
        <v>6.33</v>
      </c>
      <c r="M518" s="2" t="n">
        <v>0</v>
      </c>
      <c r="N518" s="2" t="inlineStr">
        <is>
          <t>P</t>
        </is>
      </c>
      <c r="O518" s="2" t="n">
        <v>1</v>
      </c>
      <c r="P518" s="2" t="inlineStr">
        <is>
          <t>🪑 Riserva Fissa (da fasciaFc)</t>
        </is>
      </c>
    </row>
    <row r="519">
      <c r="A519" s="2" t="inlineStr">
        <is>
          <t>Mota</t>
        </is>
      </c>
      <c r="B519" s="2" t="inlineStr">
        <is>
          <t>Monza</t>
        </is>
      </c>
      <c r="C519" s="2" t="inlineStr">
        <is>
          <t>A</t>
        </is>
      </c>
      <c r="D519" s="2" t="inlineStr">
        <is>
          <t>A</t>
        </is>
      </c>
      <c r="E519" s="2" t="n">
        <v>4</v>
      </c>
      <c r="F519" s="2" t="n">
        <v>8</v>
      </c>
      <c r="G519" s="2" t="n">
        <v>1.15</v>
      </c>
      <c r="H519" s="2" t="n">
        <v>0.5</v>
      </c>
      <c r="I519" s="2" t="n">
        <v>6</v>
      </c>
      <c r="J519" s="2" t="inlineStr">
        <is>
          <t>Riserva</t>
        </is>
      </c>
      <c r="K519" s="2" t="n">
        <v>60</v>
      </c>
      <c r="L519" s="2" t="n">
        <v>6.23</v>
      </c>
      <c r="M519" s="2" t="n">
        <v>10</v>
      </c>
      <c r="N519" s="2" t="inlineStr">
        <is>
          <t>P</t>
        </is>
      </c>
      <c r="O519" s="2" t="n">
        <v>1</v>
      </c>
      <c r="P519" s="2" t="inlineStr">
        <is>
          <t>🪑 Riserva Fissa (da fasciaFc)</t>
        </is>
      </c>
    </row>
    <row r="520">
      <c r="A520" s="2" t="inlineStr">
        <is>
          <t>N'Dri</t>
        </is>
      </c>
      <c r="B520" s="2" t="inlineStr">
        <is>
          <t>Lecce</t>
        </is>
      </c>
      <c r="C520" s="2" t="inlineStr">
        <is>
          <t>A</t>
        </is>
      </c>
      <c r="D520" s="2" t="inlineStr">
        <is>
          <t>W/A</t>
        </is>
      </c>
      <c r="E520" s="2" t="n">
        <v>4</v>
      </c>
      <c r="F520" s="2" t="n">
        <v>12</v>
      </c>
      <c r="G520" s="2" t="n">
        <v>1</v>
      </c>
      <c r="H520" s="2" t="n">
        <v>0.5</v>
      </c>
      <c r="I520" s="2" t="n">
        <v>6</v>
      </c>
      <c r="J520" s="2" t="inlineStr">
        <is>
          <t>TitLowCost</t>
        </is>
      </c>
      <c r="K520" s="2" t="n">
        <v>84</v>
      </c>
      <c r="L520" s="2" t="n">
        <v>6.18</v>
      </c>
      <c r="M520" s="2" t="n">
        <v>0</v>
      </c>
      <c r="N520" s="2" t="inlineStr">
        <is>
          <t>B</t>
        </is>
      </c>
      <c r="O520" s="2" t="n">
        <v>1</v>
      </c>
      <c r="P520" s="2" t="inlineStr">
        <is>
          <t>🟡 Ballottaggio</t>
        </is>
      </c>
    </row>
    <row r="521">
      <c r="A521" s="2" t="inlineStr">
        <is>
          <t>Nzola</t>
        </is>
      </c>
      <c r="B521" s="2" t="inlineStr">
        <is>
          <t>Cagliari</t>
        </is>
      </c>
      <c r="C521" s="2" t="inlineStr">
        <is>
          <t>A</t>
        </is>
      </c>
      <c r="D521" s="2" t="inlineStr">
        <is>
          <t>Pc</t>
        </is>
      </c>
      <c r="E521" s="2" t="n">
        <v>4</v>
      </c>
      <c r="F521" s="2" t="n">
        <v>10</v>
      </c>
      <c r="G521" s="2" t="n">
        <v>1.15</v>
      </c>
      <c r="H521" s="2" t="n">
        <v>0.5</v>
      </c>
      <c r="I521" s="2" t="n">
        <v>6</v>
      </c>
      <c r="J521" s="2" t="inlineStr">
        <is>
          <t>TitLowCost</t>
        </is>
      </c>
      <c r="K521" s="2" t="n">
        <v>84</v>
      </c>
      <c r="L521" s="2" t="n">
        <v>6.43</v>
      </c>
      <c r="M521" s="2" t="n">
        <v>70</v>
      </c>
      <c r="N521" s="2" t="inlineStr">
        <is>
          <t>B</t>
        </is>
      </c>
      <c r="O521" s="2" t="n">
        <v>1</v>
      </c>
      <c r="P521" s="2" t="inlineStr">
        <is>
          <t>🎯🟡 Rigorista in Ballottaggio</t>
        </is>
      </c>
    </row>
    <row r="522">
      <c r="A522" s="2" t="inlineStr">
        <is>
          <t>Robinson J.</t>
        </is>
      </c>
      <c r="B522" s="2" t="inlineStr">
        <is>
          <t>Monza</t>
        </is>
      </c>
      <c r="C522" s="2" t="inlineStr">
        <is>
          <t>A</t>
        </is>
      </c>
      <c r="D522" s="2" t="inlineStr">
        <is>
          <t>A</t>
        </is>
      </c>
      <c r="E522" s="2" t="n">
        <v>4</v>
      </c>
      <c r="F522" s="2" t="n">
        <v>5</v>
      </c>
      <c r="G522" s="2" t="n">
        <v>0.5</v>
      </c>
      <c r="H522" s="2" t="n">
        <v>0.5</v>
      </c>
      <c r="I522" s="2" t="n">
        <v>6</v>
      </c>
      <c r="J522" s="2" t="inlineStr">
        <is>
          <t>Riserva</t>
        </is>
      </c>
      <c r="K522" s="2" t="n">
        <v>54</v>
      </c>
      <c r="L522" s="2" t="n">
        <v>5.81</v>
      </c>
      <c r="M522" s="2" t="n">
        <v>0</v>
      </c>
      <c r="N522" s="2" t="inlineStr">
        <is>
          <t>P</t>
        </is>
      </c>
      <c r="O522" s="2" t="n">
        <v>0</v>
      </c>
      <c r="P522" s="2" t="inlineStr">
        <is>
          <t>🪑 Riserva Fissa (da fasciaFc)</t>
        </is>
      </c>
    </row>
    <row r="523">
      <c r="A523" s="2" t="inlineStr">
        <is>
          <t>Ekhator</t>
        </is>
      </c>
      <c r="B523" s="2" t="inlineStr">
        <is>
          <t>Juventus</t>
        </is>
      </c>
      <c r="C523" s="2" t="inlineStr">
        <is>
          <t>A</t>
        </is>
      </c>
      <c r="D523" s="2" t="inlineStr">
        <is>
          <t>A</t>
        </is>
      </c>
      <c r="E523" s="2" t="n">
        <v>3</v>
      </c>
      <c r="F523" s="2" t="n">
        <v>10</v>
      </c>
      <c r="G523" s="2" t="n">
        <v>1.1</v>
      </c>
      <c r="H523" s="2" t="n">
        <v>0.5</v>
      </c>
      <c r="I523" s="2" t="n">
        <v>6</v>
      </c>
      <c r="J523" s="2" t="inlineStr">
        <is>
          <t>Riserva</t>
        </is>
      </c>
      <c r="K523" s="2" t="n">
        <v>52</v>
      </c>
      <c r="L523" s="2" t="n">
        <v>6.4</v>
      </c>
      <c r="M523" s="2" t="n">
        <v>0</v>
      </c>
      <c r="N523" s="2" t="inlineStr">
        <is>
          <t>P</t>
        </is>
      </c>
      <c r="O523" s="2" t="n">
        <v>1</v>
      </c>
      <c r="P523" s="2" t="inlineStr">
        <is>
          <t>🔴 Infortunato/Dubbio</t>
        </is>
      </c>
    </row>
    <row r="524">
      <c r="A524" s="2" t="inlineStr">
        <is>
          <t>Elphege</t>
        </is>
      </c>
      <c r="B524" s="2" t="inlineStr">
        <is>
          <t>Parma</t>
        </is>
      </c>
      <c r="C524" s="2" t="inlineStr">
        <is>
          <t>A</t>
        </is>
      </c>
      <c r="D524" s="2" t="inlineStr">
        <is>
          <t>Pc</t>
        </is>
      </c>
      <c r="E524" s="2" t="n">
        <v>3</v>
      </c>
      <c r="F524" s="2" t="n">
        <v>11</v>
      </c>
      <c r="G524" s="2" t="n">
        <v>0.9</v>
      </c>
      <c r="H524" s="2" t="n">
        <v>0.5</v>
      </c>
      <c r="I524" s="2" t="n">
        <v>6</v>
      </c>
      <c r="J524" s="2" t="inlineStr">
        <is>
          <t>TitLowCost</t>
        </is>
      </c>
      <c r="K524" s="2" t="n">
        <v>80</v>
      </c>
      <c r="L524" s="2" t="n">
        <v>6.34</v>
      </c>
      <c r="M524" s="2" t="n">
        <v>0</v>
      </c>
      <c r="N524" s="2" t="inlineStr">
        <is>
          <t>P</t>
        </is>
      </c>
      <c r="O524" s="2" t="n">
        <v>1</v>
      </c>
      <c r="P524" s="2" t="inlineStr">
        <is>
          <t>Normale</t>
        </is>
      </c>
    </row>
    <row r="525">
      <c r="A525" s="2" t="inlineStr">
        <is>
          <t>Lontani</t>
        </is>
      </c>
      <c r="B525" s="2" t="inlineStr">
        <is>
          <t>Parma</t>
        </is>
      </c>
      <c r="C525" s="2" t="inlineStr">
        <is>
          <t>A</t>
        </is>
      </c>
      <c r="D525" s="2" t="inlineStr">
        <is>
          <t>A</t>
        </is>
      </c>
      <c r="E525" s="2" t="n">
        <v>3</v>
      </c>
      <c r="F525" s="2" t="n">
        <v>11</v>
      </c>
      <c r="G525" s="2" t="n">
        <v>1.25</v>
      </c>
      <c r="H525" s="2" t="n">
        <v>0.5</v>
      </c>
      <c r="I525" s="2" t="n">
        <v>6</v>
      </c>
      <c r="J525" s="2" t="inlineStr">
        <is>
          <t>Riserva</t>
        </is>
      </c>
      <c r="K525" s="2" t="n">
        <v>68</v>
      </c>
      <c r="L525" s="2" t="n">
        <v>5.99</v>
      </c>
      <c r="M525" s="2" t="n">
        <v>0</v>
      </c>
      <c r="N525" s="2" t="inlineStr">
        <is>
          <t>P</t>
        </is>
      </c>
      <c r="O525" s="2" t="n">
        <v>1</v>
      </c>
      <c r="P525" s="2" t="inlineStr">
        <is>
          <t>🪑 Riserva Fissa (da fasciaFc)</t>
        </is>
      </c>
    </row>
    <row r="526">
      <c r="A526" s="2" t="inlineStr">
        <is>
          <t>Enem</t>
        </is>
      </c>
      <c r="B526" s="2" t="inlineStr">
        <is>
          <t>Bologna</t>
        </is>
      </c>
      <c r="C526" s="2" t="inlineStr">
        <is>
          <t>A</t>
        </is>
      </c>
      <c r="D526" s="2" t="inlineStr">
        <is>
          <t>Pc</t>
        </is>
      </c>
      <c r="E526" s="2" t="n">
        <v>2</v>
      </c>
      <c r="F526" s="2" t="n">
        <v>4</v>
      </c>
      <c r="G526" s="2" t="n">
        <v>0.5</v>
      </c>
      <c r="H526" s="2" t="n">
        <v>0.5</v>
      </c>
      <c r="I526" s="2" t="n">
        <v>6</v>
      </c>
      <c r="J526" s="2" t="inlineStr">
        <is>
          <t>Riserva</t>
        </is>
      </c>
      <c r="K526" s="2" t="n">
        <v>59</v>
      </c>
      <c r="L526" s="2" t="n">
        <v>6.73</v>
      </c>
      <c r="M526" s="2" t="n">
        <v>0</v>
      </c>
      <c r="N526" s="2" t="inlineStr">
        <is>
          <t>P</t>
        </is>
      </c>
      <c r="O526" s="2" t="n">
        <v>0</v>
      </c>
      <c r="P526" s="2" t="inlineStr">
        <is>
          <t>🪑 Riserva Fissa (da fasciaFc)</t>
        </is>
      </c>
    </row>
    <row r="527">
      <c r="A527" s="2" t="inlineStr">
        <is>
          <t>Bayo V.</t>
        </is>
      </c>
      <c r="B527" s="2" t="inlineStr">
        <is>
          <t>Udinese</t>
        </is>
      </c>
      <c r="C527" s="2" t="inlineStr">
        <is>
          <t>A</t>
        </is>
      </c>
      <c r="D527" s="2" t="inlineStr">
        <is>
          <t>Pc</t>
        </is>
      </c>
      <c r="E527" s="2" t="n">
        <v>1</v>
      </c>
      <c r="F527" s="2" t="n">
        <v>3</v>
      </c>
      <c r="G527" s="2" t="n">
        <v>0.95</v>
      </c>
      <c r="H527" s="2" t="n">
        <v>0.5</v>
      </c>
      <c r="I527" s="2" t="n">
        <v>6</v>
      </c>
      <c r="J527" s="2" t="inlineStr">
        <is>
          <t>Riserva</t>
        </is>
      </c>
      <c r="K527" s="2" t="n">
        <v>52</v>
      </c>
      <c r="L527" s="2" t="n">
        <v>6.19</v>
      </c>
      <c r="M527" s="2" t="n">
        <v>0</v>
      </c>
      <c r="N527" s="2" t="inlineStr">
        <is>
          <t>P</t>
        </is>
      </c>
      <c r="O527" s="2" t="n">
        <v>1</v>
      </c>
      <c r="P527" s="2" t="inlineStr">
        <is>
          <t>🪑 Riserva Fissa (da fasciaFc)</t>
        </is>
      </c>
    </row>
    <row r="528">
      <c r="A528" s="2" t="inlineStr">
        <is>
          <t>De Martis</t>
        </is>
      </c>
      <c r="B528" s="2" t="inlineStr">
        <is>
          <t>Parma</t>
        </is>
      </c>
      <c r="C528" s="2" t="inlineStr">
        <is>
          <t>A</t>
        </is>
      </c>
      <c r="D528" s="2" t="inlineStr">
        <is>
          <t>Pc</t>
        </is>
      </c>
      <c r="E528" s="2" t="n">
        <v>1</v>
      </c>
      <c r="F528" s="2" t="n">
        <v>1</v>
      </c>
      <c r="G528" s="2" t="n">
        <v>0.5</v>
      </c>
      <c r="H528" s="2" t="n">
        <v>0.5</v>
      </c>
      <c r="I528" s="2" t="n">
        <v>6</v>
      </c>
      <c r="J528" s="2" t="inlineStr">
        <is>
          <t>Riserva</t>
        </is>
      </c>
      <c r="K528" s="2" t="n">
        <v>48</v>
      </c>
      <c r="L528" s="2" t="n">
        <v>5.83</v>
      </c>
      <c r="M528" s="2" t="n">
        <v>0</v>
      </c>
      <c r="N528" s="2" t="inlineStr">
        <is>
          <t>P</t>
        </is>
      </c>
      <c r="O528" s="2" t="n">
        <v>0</v>
      </c>
      <c r="P528" s="2" t="inlineStr">
        <is>
          <t>🟡 Ballottaggio</t>
        </is>
      </c>
    </row>
    <row r="529">
      <c r="A529" s="2" t="inlineStr">
        <is>
          <t>Lauberbach</t>
        </is>
      </c>
      <c r="B529" s="2" t="inlineStr">
        <is>
          <t>Venezia</t>
        </is>
      </c>
      <c r="C529" s="2" t="inlineStr">
        <is>
          <t>A</t>
        </is>
      </c>
      <c r="D529" s="2" t="inlineStr">
        <is>
          <t>Pc</t>
        </is>
      </c>
      <c r="E529" s="2" t="n">
        <v>1</v>
      </c>
      <c r="F529" s="2" t="n">
        <v>1</v>
      </c>
      <c r="G529" s="2" t="n">
        <v>0.5</v>
      </c>
      <c r="H529" s="2" t="n">
        <v>0.5</v>
      </c>
      <c r="I529" s="2" t="n">
        <v>6</v>
      </c>
      <c r="J529" s="2" t="inlineStr">
        <is>
          <t>Riserva</t>
        </is>
      </c>
      <c r="K529" s="2" t="n">
        <v>52</v>
      </c>
      <c r="L529" s="2" t="n">
        <v>6.04</v>
      </c>
      <c r="M529" s="2" t="n">
        <v>0</v>
      </c>
      <c r="N529" s="2" t="inlineStr">
        <is>
          <t>P</t>
        </is>
      </c>
      <c r="O529" s="2" t="n">
        <v>0</v>
      </c>
      <c r="P529" s="2" t="inlineStr">
        <is>
          <t>🪑 Riserva Fissa (da fasciaFc)</t>
        </is>
      </c>
    </row>
    <row r="530">
      <c r="A530" s="2" t="inlineStr">
        <is>
          <t>Lisman</t>
        </is>
      </c>
      <c r="B530" s="2" t="inlineStr">
        <is>
          <t>Venezia</t>
        </is>
      </c>
      <c r="C530" s="2" t="inlineStr">
        <is>
          <t>A</t>
        </is>
      </c>
      <c r="D530" s="2" t="inlineStr">
        <is>
          <t>W;A</t>
        </is>
      </c>
      <c r="E530" s="2" t="n">
        <v>1</v>
      </c>
      <c r="F530" s="2" t="n">
        <v>1</v>
      </c>
      <c r="G530" s="2" t="n">
        <v>0.5</v>
      </c>
      <c r="H530" s="2" t="n">
        <v>0.5</v>
      </c>
      <c r="I530" s="2" t="n">
        <v>6</v>
      </c>
      <c r="J530" s="2" t="inlineStr">
        <is>
          <t>Riserva</t>
        </is>
      </c>
      <c r="K530" s="2" t="n">
        <v>53</v>
      </c>
      <c r="L530" s="2" t="n">
        <v>5.78</v>
      </c>
      <c r="M530" s="2" t="n">
        <v>0</v>
      </c>
      <c r="N530" s="2" t="inlineStr">
        <is>
          <t>P</t>
        </is>
      </c>
      <c r="O530" s="2" t="n">
        <v>0</v>
      </c>
      <c r="P530" s="2" t="inlineStr">
        <is>
          <t>🪑 Riserva Fissa (da fasciaFc)</t>
        </is>
      </c>
    </row>
    <row r="531">
      <c r="A531" s="2" t="inlineStr">
        <is>
          <t>Robinho Junior</t>
        </is>
      </c>
      <c r="B531" s="2" t="inlineStr">
        <is>
          <t>Genoa</t>
        </is>
      </c>
      <c r="C531" s="2" t="inlineStr">
        <is>
          <t>A</t>
        </is>
      </c>
      <c r="D531" s="2" t="inlineStr">
        <is>
          <t>A</t>
        </is>
      </c>
      <c r="E531" s="2" t="n">
        <v>1</v>
      </c>
      <c r="F531" s="2" t="n">
        <v>3</v>
      </c>
      <c r="G531" s="2" t="n">
        <v>0.8</v>
      </c>
      <c r="H531" s="2" t="n">
        <v>0.5</v>
      </c>
      <c r="I531" s="2" t="n">
        <v>6</v>
      </c>
      <c r="J531" s="2" t="inlineStr">
        <is>
          <t>Riserva</t>
        </is>
      </c>
      <c r="K531" s="2" t="n">
        <v>50</v>
      </c>
      <c r="L531" s="2" t="n">
        <v>6.01</v>
      </c>
      <c r="M531" s="2" t="n">
        <v>0</v>
      </c>
      <c r="N531" s="2" t="inlineStr">
        <is>
          <t>P</t>
        </is>
      </c>
      <c r="O531" s="2" t="n">
        <v>1</v>
      </c>
      <c r="P531" s="2" t="inlineStr">
        <is>
          <t>🪑 Riserva Fissa (da fasciaFc)</t>
        </is>
      </c>
    </row>
    <row r="532">
      <c r="A532" s="2" t="inlineStr">
        <is>
          <t>Trepy</t>
        </is>
      </c>
      <c r="B532" s="2" t="inlineStr">
        <is>
          <t>Cagliari</t>
        </is>
      </c>
      <c r="C532" s="2" t="inlineStr">
        <is>
          <t>A</t>
        </is>
      </c>
      <c r="D532" s="2" t="inlineStr">
        <is>
          <t>Pc</t>
        </is>
      </c>
      <c r="E532" s="2" t="n">
        <v>1</v>
      </c>
      <c r="F532" s="2" t="n">
        <v>2</v>
      </c>
      <c r="G532" s="2" t="n">
        <v>0.9</v>
      </c>
      <c r="H532" s="2" t="n">
        <v>0.5</v>
      </c>
      <c r="I532" s="2" t="n">
        <v>6</v>
      </c>
      <c r="J532" s="2" t="inlineStr">
        <is>
          <t>Riserva</t>
        </is>
      </c>
      <c r="K532" s="2" t="n">
        <v>46</v>
      </c>
      <c r="L532" s="2" t="n">
        <v>6.3</v>
      </c>
      <c r="M532" s="2" t="n">
        <v>0</v>
      </c>
      <c r="N532" s="2" t="inlineStr">
        <is>
          <t>P</t>
        </is>
      </c>
      <c r="O532" s="2" t="n">
        <v>1</v>
      </c>
      <c r="P532" s="2" t="inlineStr">
        <is>
          <t>🔴 Infortunato/Dubbio</t>
        </is>
      </c>
    </row>
  </sheetData>
  <autoFilter ref="A1:P5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4" customWidth="1" min="5" max="5"/>
    <col width="11" customWidth="1" min="6" max="6"/>
    <col width="12" customWidth="1" min="7" max="7"/>
    <col width="16" customWidth="1" min="8" max="8"/>
  </cols>
  <sheetData>
    <row r="1">
      <c r="A1" s="3" t="inlineStr">
        <is>
          <t>MOTORE — INDICI DI INFLAZIONE</t>
        </is>
      </c>
    </row>
    <row r="3">
      <c r="A3" s="6" t="inlineStr">
        <is>
          <t>Ruolo</t>
        </is>
      </c>
      <c r="B3" s="6" t="inlineStr">
        <is>
          <t>Acquisti</t>
        </is>
      </c>
      <c r="C3" s="6" t="inlineStr">
        <is>
          <t>Spesa</t>
        </is>
      </c>
      <c r="D3" s="6" t="inlineStr">
        <is>
          <t>Ritmo reale</t>
        </is>
      </c>
      <c r="E3" s="6" t="inlineStr">
        <is>
          <t>Ritmo teorico</t>
        </is>
      </c>
      <c r="F3" s="6" t="inlineStr">
        <is>
          <t>Mult ruolo</t>
        </is>
      </c>
      <c r="G3" s="6" t="inlineStr">
        <is>
          <t>Mult globale</t>
        </is>
      </c>
      <c r="H3" s="6" t="inlineStr">
        <is>
          <t>Inflazione ruolo</t>
        </is>
      </c>
    </row>
    <row r="4">
      <c r="A4" s="5" t="inlineStr">
        <is>
          <t>GLOBALE</t>
        </is>
      </c>
      <c r="B4" s="2">
        <f>COUNTIF('Asta Live'!$G$4:$G$403,"&gt;0")</f>
        <v/>
      </c>
      <c r="C4" s="2">
        <f>SUM('Asta Live'!$G$4:$G$403)</f>
        <v/>
      </c>
      <c r="D4" s="2">
        <f>C4/MAX(1,B4)</f>
        <v/>
      </c>
      <c r="E4" s="2">
        <f>(Impostazioni!$B$3*Impostazioni!$B$2)/(Impostazioni!$B$3*Impostazioni!$B$19)</f>
        <v/>
      </c>
      <c r="G4" s="2">
        <f>IF(C4&lt;=(Impostazioni!$B$3*Impostazioni!$B$2)*0.15,1,MEDIAN(0.75,D4/MAX(0.1,E4),1.4))</f>
        <v/>
      </c>
    </row>
    <row r="5">
      <c r="A5" s="2" t="inlineStr">
        <is>
          <t>P</t>
        </is>
      </c>
      <c r="B5" s="2">
        <f>COUNTIF('Asta Live'!$C$4:$C$403,A5)</f>
        <v/>
      </c>
      <c r="C5" s="2">
        <f>SUMIF('Asta Live'!$C$4:$C$403,A5,'Asta Live'!$G$4:$G$403)</f>
        <v/>
      </c>
      <c r="D5" s="2">
        <f>IF(B5&lt;1,0,C5/B5)</f>
        <v/>
      </c>
      <c r="E5" s="2">
        <f>((Impostazioni!$B$3*Impostazioni!$B$2)*(Impostazioni!$C$15/100))/MAX(1,Impostazioni!$B$3*Impostazioni!$B$15)</f>
        <v/>
      </c>
      <c r="F5" s="2">
        <f>IF(B5&lt;3,1,MEDIAN(0.7,D5/MAX(0.1,E5),1.5))</f>
        <v/>
      </c>
      <c r="G5" s="2">
        <f>Motore!$G$4</f>
        <v/>
      </c>
      <c r="H5" s="2">
        <f>G5*0.35+F5*0.65</f>
        <v/>
      </c>
    </row>
    <row r="6">
      <c r="A6" s="2" t="inlineStr">
        <is>
          <t>D</t>
        </is>
      </c>
      <c r="B6" s="2">
        <f>COUNTIF('Asta Live'!$C$4:$C$403,A6)</f>
        <v/>
      </c>
      <c r="C6" s="2">
        <f>SUMIF('Asta Live'!$C$4:$C$403,A6,'Asta Live'!$G$4:$G$403)</f>
        <v/>
      </c>
      <c r="D6" s="2">
        <f>IF(B6&lt;1,0,C6/B6)</f>
        <v/>
      </c>
      <c r="E6" s="2">
        <f>((Impostazioni!$B$3*Impostazioni!$B$2)*(Impostazioni!$C$16/100))/MAX(1,Impostazioni!$B$3*Impostazioni!$B$16)</f>
        <v/>
      </c>
      <c r="F6" s="2">
        <f>IF(B6&lt;3,1,MEDIAN(0.7,D6/MAX(0.1,E6),1.5))</f>
        <v/>
      </c>
      <c r="G6" s="2">
        <f>Motore!$G$4</f>
        <v/>
      </c>
      <c r="H6" s="2">
        <f>G6*0.35+F6*0.65</f>
        <v/>
      </c>
    </row>
    <row r="7">
      <c r="A7" s="2" t="inlineStr">
        <is>
          <t>C</t>
        </is>
      </c>
      <c r="B7" s="2">
        <f>COUNTIF('Asta Live'!$C$4:$C$403,A7)</f>
        <v/>
      </c>
      <c r="C7" s="2">
        <f>SUMIF('Asta Live'!$C$4:$C$403,A7,'Asta Live'!$G$4:$G$403)</f>
        <v/>
      </c>
      <c r="D7" s="2">
        <f>IF(B7&lt;1,0,C7/B7)</f>
        <v/>
      </c>
      <c r="E7" s="2">
        <f>((Impostazioni!$B$3*Impostazioni!$B$2)*(Impostazioni!$C$17/100))/MAX(1,Impostazioni!$B$3*Impostazioni!$B$17)</f>
        <v/>
      </c>
      <c r="F7" s="2">
        <f>IF(B7&lt;3,1,MEDIAN(0.7,D7/MAX(0.1,E7),1.5))</f>
        <v/>
      </c>
      <c r="G7" s="2">
        <f>Motore!$G$4</f>
        <v/>
      </c>
      <c r="H7" s="2">
        <f>G7*0.35+F7*0.65</f>
        <v/>
      </c>
    </row>
    <row r="8">
      <c r="A8" s="2" t="inlineStr">
        <is>
          <t>A</t>
        </is>
      </c>
      <c r="B8" s="2">
        <f>COUNTIF('Asta Live'!$C$4:$C$403,A8)</f>
        <v/>
      </c>
      <c r="C8" s="2">
        <f>SUMIF('Asta Live'!$C$4:$C$403,A8,'Asta Live'!$G$4:$G$403)</f>
        <v/>
      </c>
      <c r="D8" s="2">
        <f>IF(B8&lt;1,0,C8/B8)</f>
        <v/>
      </c>
      <c r="E8" s="2">
        <f>((Impostazioni!$B$3*Impostazioni!$B$2)*(Impostazioni!$C$18/100))/MAX(1,Impostazioni!$B$3*Impostazioni!$B$18)</f>
        <v/>
      </c>
      <c r="F8" s="2">
        <f>IF(B8&lt;3,1,MEDIAN(0.7,D8/MAX(0.1,E8),1.5))</f>
        <v/>
      </c>
      <c r="G8" s="2">
        <f>Motore!$G$4</f>
        <v/>
      </c>
      <c r="H8" s="2">
        <f>G8*0.35+F8*0.65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12" customWidth="1" min="4" max="4"/>
    <col width="11" customWidth="1" min="5" max="5"/>
    <col width="8" customWidth="1" min="6" max="6"/>
    <col width="8" customWidth="1" min="7" max="7"/>
    <col width="26" customWidth="1" min="8" max="8"/>
    <col width="13" customWidth="1" min="9" max="9"/>
    <col width="14" customWidth="1" min="10" max="10"/>
    <col width="30" customWidth="1" min="11" max="11"/>
    <col width="9" customWidth="1" min="12" max="12"/>
    <col width="10" customWidth="1" min="13" max="13"/>
  </cols>
  <sheetData>
    <row r="1">
      <c r="A1" s="6" t="inlineStr">
        <is>
          <t>Giocatore</t>
        </is>
      </c>
      <c r="B1" s="6" t="inlineStr">
        <is>
          <t>Squadra</t>
        </is>
      </c>
      <c r="C1" s="6" t="inlineStr">
        <is>
          <t>Ruolo</t>
        </is>
      </c>
      <c r="D1" s="6" t="inlineStr">
        <is>
          <t>Ruolo Mantra</t>
        </is>
      </c>
      <c r="E1" s="6" t="inlineStr">
        <is>
          <t>Quotazione</t>
        </is>
      </c>
      <c r="F1" s="6" t="inlineStr">
        <is>
          <t>PMA</t>
        </is>
      </c>
      <c r="G1" s="6" t="inlineStr">
        <is>
          <t>PFC</t>
        </is>
      </c>
      <c r="H1" s="6" t="inlineStr">
        <is>
          <t>Flag</t>
        </is>
      </c>
      <c r="I1" s="6" t="inlineStr">
        <is>
          <t>Prezzo iniziale</t>
        </is>
      </c>
      <c r="J1" s="6" t="inlineStr">
        <is>
          <t>Consigliato ORA</t>
        </is>
      </c>
      <c r="K1" s="6" t="inlineStr">
        <is>
          <t>Etichetta</t>
        </is>
      </c>
      <c r="L1" s="6" t="inlineStr">
        <is>
          <t>base</t>
        </is>
      </c>
      <c r="M1" s="6" t="inlineStr">
        <is>
          <t>mult difesa</t>
        </is>
      </c>
    </row>
    <row r="2">
      <c r="A2" s="2" t="inlineStr">
        <is>
          <t>Svilar</t>
        </is>
      </c>
      <c r="B2" s="2" t="inlineStr">
        <is>
          <t>Roma</t>
        </is>
      </c>
      <c r="C2" s="2" t="inlineStr">
        <is>
          <t>P</t>
        </is>
      </c>
      <c r="D2" s="2" t="inlineStr">
        <is>
          <t>Por</t>
        </is>
      </c>
      <c r="E2" s="2" t="n">
        <v>19</v>
      </c>
      <c r="F2" s="2" t="n">
        <v>46.05</v>
      </c>
      <c r="G2" s="2" t="n">
        <v>36.6</v>
      </c>
      <c r="H2" s="8" t="inlineStr">
        <is>
          <t>Normale</t>
        </is>
      </c>
      <c r="I2" s="2">
        <f>MAX(1,TRUNC(L2*(Impostazioni!$B$2/500)*1*M2*INDEX(Impostazioni!$E$23:$E$29,MATCH(H2,Impostazioni!$D$23:$D$29,0))))</f>
        <v/>
      </c>
      <c r="J2" s="9">
        <f>MAX(1,TRUNC(L2*(Impostazioni!$B$2/500)*INDEX(Motore!$A$5:$H$8,MATCH(C2,Motore!$A$5:$A$8,0),8)*M2*INDEX(Impostazioni!$E$23:$E$29,MATCH(H2,Impostazioni!$D$23:$D$29,0))))</f>
        <v/>
      </c>
      <c r="K2" s="2" t="inlineStr">
        <is>
          <t>🌟 Nuovo Arrivo TOP</t>
        </is>
      </c>
      <c r="L2" s="2" t="n">
        <v>38</v>
      </c>
      <c r="M2" s="2" t="n">
        <v>1.16</v>
      </c>
    </row>
    <row r="3">
      <c r="A3" s="2" t="inlineStr">
        <is>
          <t>Carnesecchi</t>
        </is>
      </c>
      <c r="B3" s="2" t="inlineStr">
        <is>
          <t>Atalanta</t>
        </is>
      </c>
      <c r="C3" s="2" t="inlineStr">
        <is>
          <t>P</t>
        </is>
      </c>
      <c r="D3" s="2" t="inlineStr">
        <is>
          <t>Por</t>
        </is>
      </c>
      <c r="E3" s="2" t="n">
        <v>17</v>
      </c>
      <c r="F3" s="2" t="n">
        <v>31.85</v>
      </c>
      <c r="G3" s="2" t="n">
        <v>32.55</v>
      </c>
      <c r="H3" s="8" t="inlineStr">
        <is>
          <t>Normale</t>
        </is>
      </c>
      <c r="I3" s="2">
        <f>MAX(1,TRUNC(L3*(Impostazioni!$B$2/500)*1*M3*INDEX(Impostazioni!$E$23:$E$29,MATCH(H3,Impostazioni!$D$23:$D$29,0))))</f>
        <v/>
      </c>
      <c r="J3" s="9">
        <f>MAX(1,TRUNC(L3*(Impostazioni!$B$2/500)*INDEX(Motore!$A$5:$H$8,MATCH(C3,Motore!$A$5:$A$8,0),8)*M3*INDEX(Impostazioni!$E$23:$E$29,MATCH(H3,Impostazioni!$D$23:$D$29,0))))</f>
        <v/>
      </c>
      <c r="K3" s="2" t="inlineStr">
        <is>
          <t>🌟 Nuovo Arrivo TOP</t>
        </is>
      </c>
      <c r="L3" s="2" t="n">
        <v>34</v>
      </c>
      <c r="M3" s="2" t="n">
        <v>1.05</v>
      </c>
    </row>
    <row r="4">
      <c r="A4" s="2" t="inlineStr">
        <is>
          <t>Martinez Jo.</t>
        </is>
      </c>
      <c r="B4" s="2" t="inlineStr">
        <is>
          <t>Inter</t>
        </is>
      </c>
      <c r="C4" s="2" t="inlineStr">
        <is>
          <t>P</t>
        </is>
      </c>
      <c r="D4" s="2" t="inlineStr">
        <is>
          <t>Por</t>
        </is>
      </c>
      <c r="E4" s="2" t="n">
        <v>17</v>
      </c>
      <c r="F4" s="2" t="n">
        <v>37.95</v>
      </c>
      <c r="G4" s="2" t="n">
        <v>33.95</v>
      </c>
      <c r="H4" s="8" t="inlineStr">
        <is>
          <t>Normale</t>
        </is>
      </c>
      <c r="I4" s="2">
        <f>MAX(1,TRUNC(L4*(Impostazioni!$B$2/500)*1*M4*INDEX(Impostazioni!$E$23:$E$29,MATCH(H4,Impostazioni!$D$23:$D$29,0))))</f>
        <v/>
      </c>
      <c r="J4" s="9">
        <f>MAX(1,TRUNC(L4*(Impostazioni!$B$2/500)*INDEX(Motore!$A$5:$H$8,MATCH(C4,Motore!$A$5:$A$8,0),8)*M4*INDEX(Impostazioni!$E$23:$E$29,MATCH(H4,Impostazioni!$D$23:$D$29,0))))</f>
        <v/>
      </c>
      <c r="K4" s="2" t="inlineStr">
        <is>
          <t>🌟 Nuovo Arrivo TOP</t>
        </is>
      </c>
      <c r="L4" s="2" t="n">
        <v>34</v>
      </c>
      <c r="M4" s="2" t="n">
        <v>1.18</v>
      </c>
    </row>
    <row r="5">
      <c r="A5" s="2" t="inlineStr">
        <is>
          <t>Vicario</t>
        </is>
      </c>
      <c r="B5" s="2" t="inlineStr">
        <is>
          <t>Juventus</t>
        </is>
      </c>
      <c r="C5" s="2" t="inlineStr">
        <is>
          <t>P</t>
        </is>
      </c>
      <c r="D5" s="2" t="inlineStr">
        <is>
          <t>Por</t>
        </is>
      </c>
      <c r="E5" s="2" t="n">
        <v>17</v>
      </c>
      <c r="F5" s="2" t="n">
        <v>39.25</v>
      </c>
      <c r="G5" s="2" t="n">
        <v>32.95</v>
      </c>
      <c r="H5" s="8" t="inlineStr">
        <is>
          <t>Normale</t>
        </is>
      </c>
      <c r="I5" s="2">
        <f>MAX(1,TRUNC(L5*(Impostazioni!$B$2/500)*1*M5*INDEX(Impostazioni!$E$23:$E$29,MATCH(H5,Impostazioni!$D$23:$D$29,0))))</f>
        <v/>
      </c>
      <c r="J5" s="9">
        <f>MAX(1,TRUNC(L5*(Impostazioni!$B$2/500)*INDEX(Motore!$A$5:$H$8,MATCH(C5,Motore!$A$5:$A$8,0),8)*M5*INDEX(Impostazioni!$E$23:$E$29,MATCH(H5,Impostazioni!$D$23:$D$29,0))))</f>
        <v/>
      </c>
      <c r="K5" s="2" t="inlineStr">
        <is>
          <t>🌟 Nuovo Arrivo TOP</t>
        </is>
      </c>
      <c r="L5" s="2" t="n">
        <v>34</v>
      </c>
      <c r="M5" s="2" t="n">
        <v>1.12</v>
      </c>
    </row>
    <row r="6">
      <c r="A6" s="2" t="inlineStr">
        <is>
          <t>Butez</t>
        </is>
      </c>
      <c r="B6" s="2" t="inlineStr">
        <is>
          <t>Como</t>
        </is>
      </c>
      <c r="C6" s="2" t="inlineStr">
        <is>
          <t>P</t>
        </is>
      </c>
      <c r="D6" s="2" t="inlineStr">
        <is>
          <t>Por</t>
        </is>
      </c>
      <c r="E6" s="2" t="n">
        <v>15</v>
      </c>
      <c r="F6" s="2" t="n">
        <v>25.65</v>
      </c>
      <c r="G6" s="2" t="n">
        <v>24.8</v>
      </c>
      <c r="H6" s="8" t="inlineStr">
        <is>
          <t>🟡 Ballottaggio</t>
        </is>
      </c>
      <c r="I6" s="2">
        <f>MAX(1,TRUNC(L6*(Impostazioni!$B$2/500)*1*M6*INDEX(Impostazioni!$E$23:$E$29,MATCH(H6,Impostazioni!$D$23:$D$29,0))))</f>
        <v/>
      </c>
      <c r="J6" s="9">
        <f>MAX(1,TRUNC(L6*(Impostazioni!$B$2/500)*INDEX(Motore!$A$5:$H$8,MATCH(C6,Motore!$A$5:$A$8,0),8)*M6*INDEX(Impostazioni!$E$23:$E$29,MATCH(H6,Impostazioni!$D$23:$D$29,0))))</f>
        <v/>
      </c>
      <c r="K6" s="2" t="inlineStr">
        <is>
          <t>🌟 Nuovo Arrivo TOP</t>
        </is>
      </c>
      <c r="L6" s="2" t="n">
        <v>30</v>
      </c>
      <c r="M6" s="2" t="n">
        <v>1.19</v>
      </c>
    </row>
    <row r="7">
      <c r="A7" s="2" t="inlineStr">
        <is>
          <t>Maignan</t>
        </is>
      </c>
      <c r="B7" s="2" t="inlineStr">
        <is>
          <t>Milan</t>
        </is>
      </c>
      <c r="C7" s="2" t="inlineStr">
        <is>
          <t>P</t>
        </is>
      </c>
      <c r="D7" s="2" t="inlineStr">
        <is>
          <t>Por</t>
        </is>
      </c>
      <c r="E7" s="2" t="n">
        <v>15</v>
      </c>
      <c r="F7" s="2" t="n">
        <v>34.45</v>
      </c>
      <c r="G7" s="2" t="n">
        <v>34.75</v>
      </c>
      <c r="H7" s="8" t="inlineStr">
        <is>
          <t>Normale</t>
        </is>
      </c>
      <c r="I7" s="2">
        <f>MAX(1,TRUNC(L7*(Impostazioni!$B$2/500)*1*M7*INDEX(Impostazioni!$E$23:$E$29,MATCH(H7,Impostazioni!$D$23:$D$29,0))))</f>
        <v/>
      </c>
      <c r="J7" s="9">
        <f>MAX(1,TRUNC(L7*(Impostazioni!$B$2/500)*INDEX(Motore!$A$5:$H$8,MATCH(C7,Motore!$A$5:$A$8,0),8)*M7*INDEX(Impostazioni!$E$23:$E$29,MATCH(H7,Impostazioni!$D$23:$D$29,0))))</f>
        <v/>
      </c>
      <c r="K7" s="2" t="inlineStr">
        <is>
          <t>🌟 Nuovo Arrivo TOP</t>
        </is>
      </c>
      <c r="L7" s="2" t="n">
        <v>30</v>
      </c>
      <c r="M7" s="2" t="n">
        <v>1.09</v>
      </c>
    </row>
    <row r="8">
      <c r="A8" s="2" t="inlineStr">
        <is>
          <t>De Gea</t>
        </is>
      </c>
      <c r="B8" s="2" t="inlineStr">
        <is>
          <t>Fiorentina</t>
        </is>
      </c>
      <c r="C8" s="2" t="inlineStr">
        <is>
          <t>P</t>
        </is>
      </c>
      <c r="D8" s="2" t="inlineStr">
        <is>
          <t>Por</t>
        </is>
      </c>
      <c r="E8" s="2" t="n">
        <v>11</v>
      </c>
      <c r="F8" s="2" t="n">
        <v>7.3</v>
      </c>
      <c r="G8" s="2" t="n">
        <v>13.55</v>
      </c>
      <c r="H8" s="8" t="inlineStr">
        <is>
          <t>Normale</t>
        </is>
      </c>
      <c r="I8" s="2">
        <f>MAX(1,TRUNC(L8*(Impostazioni!$B$2/500)*1*M8*INDEX(Impostazioni!$E$23:$E$29,MATCH(H8,Impostazioni!$D$23:$D$29,0))))</f>
        <v/>
      </c>
      <c r="J8" s="9">
        <f>MAX(1,TRUNC(L8*(Impostazioni!$B$2/500)*INDEX(Motore!$A$5:$H$8,MATCH(C8,Motore!$A$5:$A$8,0),8)*M8*INDEX(Impostazioni!$E$23:$E$29,MATCH(H8,Impostazioni!$D$23:$D$29,0))))</f>
        <v/>
      </c>
      <c r="K8" s="2" t="inlineStr">
        <is>
          <t>Nuovo Arrivo (Rotazione)</t>
        </is>
      </c>
      <c r="L8" s="2" t="n">
        <v>12.1</v>
      </c>
      <c r="M8" s="2" t="n">
        <v>1</v>
      </c>
    </row>
    <row r="9">
      <c r="A9" s="2" t="inlineStr">
        <is>
          <t>Meret</t>
        </is>
      </c>
      <c r="B9" s="2" t="inlineStr">
        <is>
          <t>Napoli</t>
        </is>
      </c>
      <c r="C9" s="2" t="inlineStr">
        <is>
          <t>P</t>
        </is>
      </c>
      <c r="D9" s="2" t="inlineStr">
        <is>
          <t>Por</t>
        </is>
      </c>
      <c r="E9" s="2" t="n">
        <v>11</v>
      </c>
      <c r="F9" s="2" t="n">
        <v>28.55</v>
      </c>
      <c r="G9" s="2" t="n">
        <v>31.2</v>
      </c>
      <c r="H9" s="8" t="inlineStr">
        <is>
          <t>Normale</t>
        </is>
      </c>
      <c r="I9" s="2">
        <f>MAX(1,TRUNC(L9*(Impostazioni!$B$2/500)*1*M9*INDEX(Impostazioni!$E$23:$E$29,MATCH(H9,Impostazioni!$D$23:$D$29,0))))</f>
        <v/>
      </c>
      <c r="J9" s="9">
        <f>MAX(1,TRUNC(L9*(Impostazioni!$B$2/500)*INDEX(Motore!$A$5:$H$8,MATCH(C9,Motore!$A$5:$A$8,0),8)*M9*INDEX(Impostazioni!$E$23:$E$29,MATCH(H9,Impostazioni!$D$23:$D$29,0))))</f>
        <v/>
      </c>
      <c r="K9" s="2" t="inlineStr">
        <is>
          <t>Nuovo Arrivo (Rotazione)</t>
        </is>
      </c>
      <c r="L9" s="2" t="n">
        <v>12.1</v>
      </c>
      <c r="M9" s="2" t="n">
        <v>1.11</v>
      </c>
    </row>
    <row r="10">
      <c r="A10" s="2" t="inlineStr">
        <is>
          <t>Caprile</t>
        </is>
      </c>
      <c r="B10" s="2" t="inlineStr">
        <is>
          <t>Cagliari</t>
        </is>
      </c>
      <c r="C10" s="2" t="inlineStr">
        <is>
          <t>P</t>
        </is>
      </c>
      <c r="D10" s="2" t="inlineStr">
        <is>
          <t>Por</t>
        </is>
      </c>
      <c r="E10" s="2" t="n">
        <v>10</v>
      </c>
      <c r="F10" s="2" t="n">
        <v>3.25</v>
      </c>
      <c r="G10" s="2" t="n">
        <v>0.5</v>
      </c>
      <c r="H10" s="8" t="inlineStr">
        <is>
          <t>Normale</t>
        </is>
      </c>
      <c r="I10" s="2">
        <f>MAX(1,TRUNC(L10*(Impostazioni!$B$2/500)*1*M10*INDEX(Impostazioni!$E$23:$E$29,MATCH(H10,Impostazioni!$D$23:$D$29,0))))</f>
        <v/>
      </c>
      <c r="J10" s="9">
        <f>MAX(1,TRUNC(L10*(Impostazioni!$B$2/500)*INDEX(Motore!$A$5:$H$8,MATCH(C10,Motore!$A$5:$A$8,0),8)*M10*INDEX(Impostazioni!$E$23:$E$29,MATCH(H10,Impostazioni!$D$23:$D$29,0))))</f>
        <v/>
      </c>
      <c r="K10" s="2" t="inlineStr">
        <is>
          <t>Nuovo Arrivo (Rotazione)</t>
        </is>
      </c>
      <c r="L10" s="2" t="n">
        <v>11</v>
      </c>
      <c r="M10" s="2" t="n">
        <v>1</v>
      </c>
    </row>
    <row r="11">
      <c r="A11" s="2" t="inlineStr">
        <is>
          <t>Mandas</t>
        </is>
      </c>
      <c r="B11" s="2" t="inlineStr">
        <is>
          <t>Lazio</t>
        </is>
      </c>
      <c r="C11" s="2" t="inlineStr">
        <is>
          <t>P</t>
        </is>
      </c>
      <c r="D11" s="2" t="inlineStr">
        <is>
          <t>Por</t>
        </is>
      </c>
      <c r="E11" s="2" t="n">
        <v>10</v>
      </c>
      <c r="F11" s="2" t="n">
        <v>10.5</v>
      </c>
      <c r="G11" s="2" t="n">
        <v>12.25</v>
      </c>
      <c r="H11" s="8" t="inlineStr">
        <is>
          <t>Normale</t>
        </is>
      </c>
      <c r="I11" s="2">
        <f>MAX(1,TRUNC(L11*(Impostazioni!$B$2/500)*1*M11*INDEX(Impostazioni!$E$23:$E$29,MATCH(H11,Impostazioni!$D$23:$D$29,0))))</f>
        <v/>
      </c>
      <c r="J11" s="9">
        <f>MAX(1,TRUNC(L11*(Impostazioni!$B$2/500)*INDEX(Motore!$A$5:$H$8,MATCH(C11,Motore!$A$5:$A$8,0),8)*M11*INDEX(Impostazioni!$E$23:$E$29,MATCH(H11,Impostazioni!$D$23:$D$29,0))))</f>
        <v/>
      </c>
      <c r="K11" s="2" t="inlineStr">
        <is>
          <t>Nuovo Arrivo (Rotazione)</t>
        </is>
      </c>
      <c r="L11" s="2" t="n">
        <v>11</v>
      </c>
      <c r="M11" s="2" t="n">
        <v>1</v>
      </c>
    </row>
    <row r="12">
      <c r="A12" s="2" t="inlineStr">
        <is>
          <t>Skorupski</t>
        </is>
      </c>
      <c r="B12" s="2" t="inlineStr">
        <is>
          <t>Bologna</t>
        </is>
      </c>
      <c r="C12" s="2" t="inlineStr">
        <is>
          <t>P</t>
        </is>
      </c>
      <c r="D12" s="2" t="inlineStr">
        <is>
          <t>Por</t>
        </is>
      </c>
      <c r="E12" s="2" t="n">
        <v>10</v>
      </c>
      <c r="F12" s="2" t="n">
        <v>3.9</v>
      </c>
      <c r="G12" s="2" t="n">
        <v>9</v>
      </c>
      <c r="H12" s="8" t="inlineStr">
        <is>
          <t>Normale</t>
        </is>
      </c>
      <c r="I12" s="2">
        <f>MAX(1,TRUNC(L12*(Impostazioni!$B$2/500)*1*M12*INDEX(Impostazioni!$E$23:$E$29,MATCH(H12,Impostazioni!$D$23:$D$29,0))))</f>
        <v/>
      </c>
      <c r="J12" s="9">
        <f>MAX(1,TRUNC(L12*(Impostazioni!$B$2/500)*INDEX(Motore!$A$5:$H$8,MATCH(C12,Motore!$A$5:$A$8,0),8)*M12*INDEX(Impostazioni!$E$23:$E$29,MATCH(H12,Impostazioni!$D$23:$D$29,0))))</f>
        <v/>
      </c>
      <c r="K12" s="2" t="inlineStr">
        <is>
          <t>Nuovo Arrivo (Rotazione)</t>
        </is>
      </c>
      <c r="L12" s="2" t="n">
        <v>11</v>
      </c>
      <c r="M12" s="2" t="n">
        <v>1.08</v>
      </c>
    </row>
    <row r="13">
      <c r="A13" s="2" t="inlineStr">
        <is>
          <t>Okoye</t>
        </is>
      </c>
      <c r="B13" s="2" t="inlineStr">
        <is>
          <t>Udinese</t>
        </is>
      </c>
      <c r="C13" s="2" t="inlineStr">
        <is>
          <t>P</t>
        </is>
      </c>
      <c r="D13" s="2" t="inlineStr">
        <is>
          <t>Por</t>
        </is>
      </c>
      <c r="E13" s="2" t="n">
        <v>9</v>
      </c>
      <c r="F13" s="2" t="n">
        <v>5.65</v>
      </c>
      <c r="G13" s="2" t="n">
        <v>7.3</v>
      </c>
      <c r="H13" s="8" t="inlineStr">
        <is>
          <t>Normale</t>
        </is>
      </c>
      <c r="I13" s="2">
        <f>MAX(1,TRUNC(L13*(Impostazioni!$B$2/500)*1*M13*INDEX(Impostazioni!$E$23:$E$29,MATCH(H13,Impostazioni!$D$23:$D$29,0))))</f>
        <v/>
      </c>
      <c r="J13" s="9">
        <f>MAX(1,TRUNC(L13*(Impostazioni!$B$2/500)*INDEX(Motore!$A$5:$H$8,MATCH(C13,Motore!$A$5:$A$8,0),8)*M13*INDEX(Impostazioni!$E$23:$E$29,MATCH(H13,Impostazioni!$D$23:$D$29,0))))</f>
        <v/>
      </c>
      <c r="K13" s="2" t="inlineStr">
        <is>
          <t>Nuovo Arrivo (Rotazione)</t>
        </is>
      </c>
      <c r="L13" s="2" t="n">
        <v>9.9</v>
      </c>
      <c r="M13" s="2" t="n">
        <v>1</v>
      </c>
    </row>
    <row r="14">
      <c r="A14" s="2" t="inlineStr">
        <is>
          <t>Perri</t>
        </is>
      </c>
      <c r="B14" s="2" t="inlineStr">
        <is>
          <t>Torino</t>
        </is>
      </c>
      <c r="C14" s="2" t="inlineStr">
        <is>
          <t>P</t>
        </is>
      </c>
      <c r="D14" s="2" t="inlineStr">
        <is>
          <t>Por</t>
        </is>
      </c>
      <c r="E14" s="2" t="n">
        <v>9</v>
      </c>
      <c r="F14" s="2" t="n">
        <v>1.3</v>
      </c>
      <c r="G14" s="2" t="n">
        <v>2.05</v>
      </c>
      <c r="H14" s="8" t="inlineStr">
        <is>
          <t>Normale</t>
        </is>
      </c>
      <c r="I14" s="2">
        <f>MAX(1,TRUNC(L14*(Impostazioni!$B$2/500)*1*M14*INDEX(Impostazioni!$E$23:$E$29,MATCH(H14,Impostazioni!$D$23:$D$29,0))))</f>
        <v/>
      </c>
      <c r="J14" s="9">
        <f>MAX(1,TRUNC(L14*(Impostazioni!$B$2/500)*INDEX(Motore!$A$5:$H$8,MATCH(C14,Motore!$A$5:$A$8,0),8)*M14*INDEX(Impostazioni!$E$23:$E$29,MATCH(H14,Impostazioni!$D$23:$D$29,0))))</f>
        <v/>
      </c>
      <c r="K14" s="2" t="inlineStr">
        <is>
          <t>Nuovo Arrivo (Rotazione)</t>
        </is>
      </c>
      <c r="L14" s="2" t="n">
        <v>9.9</v>
      </c>
      <c r="M14" s="2" t="n">
        <v>1</v>
      </c>
    </row>
    <row r="15">
      <c r="A15" s="2" t="inlineStr">
        <is>
          <t>Bijlow</t>
        </is>
      </c>
      <c r="B15" s="2" t="inlineStr">
        <is>
          <t>Genoa</t>
        </is>
      </c>
      <c r="C15" s="2" t="inlineStr">
        <is>
          <t>P</t>
        </is>
      </c>
      <c r="D15" s="2" t="inlineStr">
        <is>
          <t>Por</t>
        </is>
      </c>
      <c r="E15" s="2" t="n">
        <v>8</v>
      </c>
      <c r="F15" s="2" t="n">
        <v>1.7</v>
      </c>
      <c r="G15" s="2" t="n">
        <v>5.5</v>
      </c>
      <c r="H15" s="8" t="inlineStr">
        <is>
          <t>Normale</t>
        </is>
      </c>
      <c r="I15" s="2">
        <f>MAX(1,TRUNC(L15*(Impostazioni!$B$2/500)*1*M15*INDEX(Impostazioni!$E$23:$E$29,MATCH(H15,Impostazioni!$D$23:$D$29,0))))</f>
        <v/>
      </c>
      <c r="J15" s="9">
        <f>MAX(1,TRUNC(L15*(Impostazioni!$B$2/500)*INDEX(Motore!$A$5:$H$8,MATCH(C15,Motore!$A$5:$A$8,0),8)*M15*INDEX(Impostazioni!$E$23:$E$29,MATCH(H15,Impostazioni!$D$23:$D$29,0))))</f>
        <v/>
      </c>
      <c r="K15" s="2" t="inlineStr">
        <is>
          <t>Nuovo Arrivo (Rotazione)</t>
        </is>
      </c>
      <c r="L15" s="2" t="n">
        <v>8.800000000000001</v>
      </c>
      <c r="M15" s="2" t="n">
        <v>1</v>
      </c>
    </row>
    <row r="16">
      <c r="A16" s="2" t="inlineStr">
        <is>
          <t>Falcone</t>
        </is>
      </c>
      <c r="B16" s="2" t="inlineStr">
        <is>
          <t>Lecce</t>
        </is>
      </c>
      <c r="C16" s="2" t="inlineStr">
        <is>
          <t>P</t>
        </is>
      </c>
      <c r="D16" s="2" t="inlineStr">
        <is>
          <t>Por</t>
        </is>
      </c>
      <c r="E16" s="2" t="n">
        <v>8</v>
      </c>
      <c r="F16" s="2" t="n">
        <v>2.6</v>
      </c>
      <c r="G16" s="2" t="n">
        <v>3.1</v>
      </c>
      <c r="H16" s="8" t="inlineStr">
        <is>
          <t>Normale</t>
        </is>
      </c>
      <c r="I16" s="2">
        <f>MAX(1,TRUNC(L16*(Impostazioni!$B$2/500)*1*M16*INDEX(Impostazioni!$E$23:$E$29,MATCH(H16,Impostazioni!$D$23:$D$29,0))))</f>
        <v/>
      </c>
      <c r="J16" s="9">
        <f>MAX(1,TRUNC(L16*(Impostazioni!$B$2/500)*INDEX(Motore!$A$5:$H$8,MATCH(C16,Motore!$A$5:$A$8,0),8)*M16*INDEX(Impostazioni!$E$23:$E$29,MATCH(H16,Impostazioni!$D$23:$D$29,0))))</f>
        <v/>
      </c>
      <c r="K16" s="2" t="inlineStr">
        <is>
          <t>Nuovo Arrivo (Rotazione)</t>
        </is>
      </c>
      <c r="L16" s="2" t="n">
        <v>8.800000000000001</v>
      </c>
      <c r="M16" s="2" t="n">
        <v>1</v>
      </c>
    </row>
    <row r="17">
      <c r="A17" s="2" t="inlineStr">
        <is>
          <t>Sanchez Ro.</t>
        </is>
      </c>
      <c r="B17" s="2" t="inlineStr">
        <is>
          <t>Como</t>
        </is>
      </c>
      <c r="C17" s="2" t="inlineStr">
        <is>
          <t>P</t>
        </is>
      </c>
      <c r="D17" s="2" t="inlineStr">
        <is>
          <t>Por</t>
        </is>
      </c>
      <c r="E17" s="2" t="n">
        <v>8</v>
      </c>
      <c r="F17" s="2" t="n">
        <v>1.8</v>
      </c>
      <c r="G17" s="2" t="n">
        <v>0.5</v>
      </c>
      <c r="H17" s="8" t="inlineStr">
        <is>
          <t>🟡 Ballottaggio</t>
        </is>
      </c>
      <c r="I17" s="2">
        <f>MAX(1,TRUNC(L17*(Impostazioni!$B$2/500)*1*M17*INDEX(Impostazioni!$E$23:$E$29,MATCH(H17,Impostazioni!$D$23:$D$29,0))))</f>
        <v/>
      </c>
      <c r="J17" s="9">
        <f>MAX(1,TRUNC(L17*(Impostazioni!$B$2/500)*INDEX(Motore!$A$5:$H$8,MATCH(C17,Motore!$A$5:$A$8,0),8)*M17*INDEX(Impostazioni!$E$23:$E$29,MATCH(H17,Impostazioni!$D$23:$D$29,0))))</f>
        <v/>
      </c>
      <c r="K17" s="2" t="inlineStr">
        <is>
          <t>Nuovo Arrivo (Rotazione)</t>
        </is>
      </c>
      <c r="L17" s="2" t="n">
        <v>8.800000000000001</v>
      </c>
      <c r="M17" s="2" t="n">
        <v>1.19</v>
      </c>
    </row>
    <row r="18">
      <c r="A18" s="2" t="inlineStr">
        <is>
          <t>Muric</t>
        </is>
      </c>
      <c r="B18" s="2" t="inlineStr">
        <is>
          <t>Sassuolo</t>
        </is>
      </c>
      <c r="C18" s="2" t="inlineStr">
        <is>
          <t>P</t>
        </is>
      </c>
      <c r="D18" s="2" t="inlineStr">
        <is>
          <t>Por</t>
        </is>
      </c>
      <c r="E18" s="2" t="n">
        <v>7</v>
      </c>
      <c r="F18" s="2" t="n">
        <v>1.4</v>
      </c>
      <c r="G18" s="2" t="n">
        <v>1.2</v>
      </c>
      <c r="H18" s="8" t="inlineStr">
        <is>
          <t>Normale</t>
        </is>
      </c>
      <c r="I18" s="2">
        <f>MAX(1,TRUNC(L18*(Impostazioni!$B$2/500)*1*M18*INDEX(Impostazioni!$E$23:$E$29,MATCH(H18,Impostazioni!$D$23:$D$29,0))))</f>
        <v/>
      </c>
      <c r="J18" s="9">
        <f>MAX(1,TRUNC(L18*(Impostazioni!$B$2/500)*INDEX(Motore!$A$5:$H$8,MATCH(C18,Motore!$A$5:$A$8,0),8)*M18*INDEX(Impostazioni!$E$23:$E$29,MATCH(H18,Impostazioni!$D$23:$D$29,0))))</f>
        <v/>
      </c>
      <c r="K18" s="2" t="inlineStr">
        <is>
          <t>Scommessa / Sconosciuto</t>
        </is>
      </c>
      <c r="L18" s="2" t="n">
        <v>1</v>
      </c>
      <c r="M18" s="2" t="n">
        <v>1</v>
      </c>
    </row>
    <row r="19">
      <c r="A19" s="2" t="inlineStr">
        <is>
          <t>Daffara</t>
        </is>
      </c>
      <c r="B19" s="2" t="inlineStr">
        <is>
          <t>Parma</t>
        </is>
      </c>
      <c r="C19" s="2" t="inlineStr">
        <is>
          <t>P</t>
        </is>
      </c>
      <c r="D19" s="2" t="inlineStr">
        <is>
          <t>Por</t>
        </is>
      </c>
      <c r="E19" s="2" t="n">
        <v>6</v>
      </c>
      <c r="F19" s="2" t="n">
        <v>1.05</v>
      </c>
      <c r="G19" s="2" t="n">
        <v>0.5</v>
      </c>
      <c r="H19" s="8" t="inlineStr">
        <is>
          <t>🟡 Ballottaggio</t>
        </is>
      </c>
      <c r="I19" s="2">
        <f>MAX(1,TRUNC(L19*(Impostazioni!$B$2/500)*1*M19*INDEX(Impostazioni!$E$23:$E$29,MATCH(H19,Impostazioni!$D$23:$D$29,0))))</f>
        <v/>
      </c>
      <c r="J19" s="9">
        <f>MAX(1,TRUNC(L19*(Impostazioni!$B$2/500)*INDEX(Motore!$A$5:$H$8,MATCH(C19,Motore!$A$5:$A$8,0),8)*M19*INDEX(Impostazioni!$E$23:$E$29,MATCH(H19,Impostazioni!$D$23:$D$29,0))))</f>
        <v/>
      </c>
      <c r="K19" s="2" t="inlineStr">
        <is>
          <t>Scommessa / Sconosciuto</t>
        </is>
      </c>
      <c r="L19" s="2" t="n">
        <v>1</v>
      </c>
      <c r="M19" s="2" t="n">
        <v>1</v>
      </c>
    </row>
    <row r="20">
      <c r="A20" s="2" t="inlineStr">
        <is>
          <t>Stankovic F.</t>
        </is>
      </c>
      <c r="B20" s="2" t="inlineStr">
        <is>
          <t>Venezia</t>
        </is>
      </c>
      <c r="C20" s="2" t="inlineStr">
        <is>
          <t>P</t>
        </is>
      </c>
      <c r="D20" s="2" t="inlineStr">
        <is>
          <t>Por</t>
        </is>
      </c>
      <c r="E20" s="2" t="n">
        <v>6</v>
      </c>
      <c r="F20" s="2" t="n">
        <v>1.1</v>
      </c>
      <c r="G20" s="2" t="n">
        <v>0.5</v>
      </c>
      <c r="H20" s="8" t="inlineStr">
        <is>
          <t>Normale</t>
        </is>
      </c>
      <c r="I20" s="2">
        <f>MAX(1,TRUNC(L20*(Impostazioni!$B$2/500)*1*M20*INDEX(Impostazioni!$E$23:$E$29,MATCH(H20,Impostazioni!$D$23:$D$29,0))))</f>
        <v/>
      </c>
      <c r="J20" s="9">
        <f>MAX(1,TRUNC(L20*(Impostazioni!$B$2/500)*INDEX(Motore!$A$5:$H$8,MATCH(C20,Motore!$A$5:$A$8,0),8)*M20*INDEX(Impostazioni!$E$23:$E$29,MATCH(H20,Impostazioni!$D$23:$D$29,0))))</f>
        <v/>
      </c>
      <c r="K20" s="2" t="inlineStr">
        <is>
          <t>Scommessa / Sconosciuto</t>
        </is>
      </c>
      <c r="L20" s="2" t="n">
        <v>1</v>
      </c>
      <c r="M20" s="2" t="n">
        <v>0.85</v>
      </c>
    </row>
    <row r="21">
      <c r="A21" s="2" t="inlineStr">
        <is>
          <t>Milinkovic-Savic V.</t>
        </is>
      </c>
      <c r="B21" s="2" t="inlineStr">
        <is>
          <t>Napoli</t>
        </is>
      </c>
      <c r="C21" s="2" t="inlineStr">
        <is>
          <t>P</t>
        </is>
      </c>
      <c r="D21" s="2" t="inlineStr">
        <is>
          <t>Por</t>
        </is>
      </c>
      <c r="E21" s="2" t="n">
        <v>5</v>
      </c>
      <c r="F21" s="2" t="n">
        <v>2.2</v>
      </c>
      <c r="G21" s="2" t="n">
        <v>0.5</v>
      </c>
      <c r="H21" s="8" t="inlineStr">
        <is>
          <t>🟡 Ballottaggio</t>
        </is>
      </c>
      <c r="I21" s="2">
        <f>MAX(1,TRUNC(L21*(Impostazioni!$B$2/500)*1*M21*INDEX(Impostazioni!$E$23:$E$29,MATCH(H21,Impostazioni!$D$23:$D$29,0))))</f>
        <v/>
      </c>
      <c r="J21" s="9">
        <f>MAX(1,TRUNC(L21*(Impostazioni!$B$2/500)*INDEX(Motore!$A$5:$H$8,MATCH(C21,Motore!$A$5:$A$8,0),8)*M21*INDEX(Impostazioni!$E$23:$E$29,MATCH(H21,Impostazioni!$D$23:$D$29,0))))</f>
        <v/>
      </c>
      <c r="K21" s="2" t="inlineStr">
        <is>
          <t>Scommessa / Sconosciuto</t>
        </is>
      </c>
      <c r="L21" s="2" t="n">
        <v>1</v>
      </c>
      <c r="M21" s="2" t="n">
        <v>1.11</v>
      </c>
    </row>
    <row r="22">
      <c r="A22" s="2" t="inlineStr">
        <is>
          <t>Palmisani</t>
        </is>
      </c>
      <c r="B22" s="2" t="inlineStr">
        <is>
          <t>Frosinone</t>
        </is>
      </c>
      <c r="C22" s="2" t="inlineStr">
        <is>
          <t>P</t>
        </is>
      </c>
      <c r="D22" s="2" t="inlineStr">
        <is>
          <t>Por</t>
        </is>
      </c>
      <c r="E22" s="2" t="n">
        <v>5</v>
      </c>
      <c r="F22" s="2" t="n">
        <v>0.95</v>
      </c>
      <c r="G22" s="2" t="n">
        <v>0.5</v>
      </c>
      <c r="H22" s="8" t="inlineStr">
        <is>
          <t>Normale</t>
        </is>
      </c>
      <c r="I22" s="2">
        <f>MAX(1,TRUNC(L22*(Impostazioni!$B$2/500)*1*M22*INDEX(Impostazioni!$E$23:$E$29,MATCH(H22,Impostazioni!$D$23:$D$29,0))))</f>
        <v/>
      </c>
      <c r="J22" s="9">
        <f>MAX(1,TRUNC(L22*(Impostazioni!$B$2/500)*INDEX(Motore!$A$5:$H$8,MATCH(C22,Motore!$A$5:$A$8,0),8)*M22*INDEX(Impostazioni!$E$23:$E$29,MATCH(H22,Impostazioni!$D$23:$D$29,0))))</f>
        <v/>
      </c>
      <c r="K22" s="2" t="inlineStr">
        <is>
          <t>Scommessa / Sconosciuto</t>
        </is>
      </c>
      <c r="L22" s="2" t="n">
        <v>1</v>
      </c>
      <c r="M22" s="2" t="n">
        <v>0.85</v>
      </c>
    </row>
    <row r="23">
      <c r="A23" s="2" t="inlineStr">
        <is>
          <t>Thiam</t>
        </is>
      </c>
      <c r="B23" s="2" t="inlineStr">
        <is>
          <t>Monza</t>
        </is>
      </c>
      <c r="C23" s="2" t="inlineStr">
        <is>
          <t>P</t>
        </is>
      </c>
      <c r="D23" s="2" t="inlineStr">
        <is>
          <t>Por</t>
        </is>
      </c>
      <c r="E23" s="2" t="n">
        <v>4</v>
      </c>
      <c r="F23" s="2" t="n">
        <v>0.9</v>
      </c>
      <c r="G23" s="2" t="n">
        <v>0.5</v>
      </c>
      <c r="H23" s="8" t="inlineStr">
        <is>
          <t>Normale</t>
        </is>
      </c>
      <c r="I23" s="2">
        <f>MAX(1,TRUNC(L23*(Impostazioni!$B$2/500)*1*M23*INDEX(Impostazioni!$E$23:$E$29,MATCH(H23,Impostazioni!$D$23:$D$29,0))))</f>
        <v/>
      </c>
      <c r="J23" s="9">
        <f>MAX(1,TRUNC(L23*(Impostazioni!$B$2/500)*INDEX(Motore!$A$5:$H$8,MATCH(C23,Motore!$A$5:$A$8,0),8)*M23*INDEX(Impostazioni!$E$23:$E$29,MATCH(H23,Impostazioni!$D$23:$D$29,0))))</f>
        <v/>
      </c>
      <c r="K23" s="2" t="inlineStr">
        <is>
          <t>Scommessa / Sconosciuto</t>
        </is>
      </c>
      <c r="L23" s="2" t="n">
        <v>1</v>
      </c>
      <c r="M23" s="2" t="n">
        <v>0.85</v>
      </c>
    </row>
    <row r="24">
      <c r="A24" s="2" t="inlineStr">
        <is>
          <t>Corvi</t>
        </is>
      </c>
      <c r="B24" s="2" t="inlineStr">
        <is>
          <t>Parma</t>
        </is>
      </c>
      <c r="C24" s="2" t="inlineStr">
        <is>
          <t>P</t>
        </is>
      </c>
      <c r="D24" s="2" t="inlineStr">
        <is>
          <t>Por</t>
        </is>
      </c>
      <c r="E24" s="2" t="n">
        <v>2</v>
      </c>
      <c r="F24" s="2" t="n">
        <v>1.1</v>
      </c>
      <c r="G24" s="2" t="n">
        <v>0.5</v>
      </c>
      <c r="H24" s="8" t="inlineStr">
        <is>
          <t>Normale</t>
        </is>
      </c>
      <c r="I24" s="2">
        <f>MAX(1,TRUNC(L24*(Impostazioni!$B$2/500)*1*M24*INDEX(Impostazioni!$E$23:$E$29,MATCH(H24,Impostazioni!$D$23:$D$29,0))))</f>
        <v/>
      </c>
      <c r="J24" s="9">
        <f>MAX(1,TRUNC(L24*(Impostazioni!$B$2/500)*INDEX(Motore!$A$5:$H$8,MATCH(C24,Motore!$A$5:$A$8,0),8)*M24*INDEX(Impostazioni!$E$23:$E$29,MATCH(H24,Impostazioni!$D$23:$D$29,0))))</f>
        <v/>
      </c>
      <c r="K24" s="2" t="inlineStr">
        <is>
          <t>Scommessa / Sconosciuto</t>
        </is>
      </c>
      <c r="L24" s="2" t="n">
        <v>1</v>
      </c>
      <c r="M24" s="2" t="n">
        <v>1</v>
      </c>
    </row>
    <row r="25">
      <c r="A25" s="2" t="inlineStr">
        <is>
          <t>Desplanches</t>
        </is>
      </c>
      <c r="B25" s="2" t="inlineStr">
        <is>
          <t>Frosinone</t>
        </is>
      </c>
      <c r="C25" s="2" t="inlineStr">
        <is>
          <t>P</t>
        </is>
      </c>
      <c r="D25" s="2" t="inlineStr">
        <is>
          <t>Por</t>
        </is>
      </c>
      <c r="E25" s="2" t="n">
        <v>2</v>
      </c>
      <c r="F25" s="2" t="n">
        <v>0.7</v>
      </c>
      <c r="G25" s="2" t="n">
        <v>0.5</v>
      </c>
      <c r="H25" s="8" t="inlineStr">
        <is>
          <t>🟡 Ballottaggio</t>
        </is>
      </c>
      <c r="I25" s="2">
        <f>MAX(1,TRUNC(L25*(Impostazioni!$B$2/500)*1*M25*INDEX(Impostazioni!$E$23:$E$29,MATCH(H25,Impostazioni!$D$23:$D$29,0))))</f>
        <v/>
      </c>
      <c r="J25" s="9">
        <f>MAX(1,TRUNC(L25*(Impostazioni!$B$2/500)*INDEX(Motore!$A$5:$H$8,MATCH(C25,Motore!$A$5:$A$8,0),8)*M25*INDEX(Impostazioni!$E$23:$E$29,MATCH(H25,Impostazioni!$D$23:$D$29,0))))</f>
        <v/>
      </c>
      <c r="K25" s="2" t="inlineStr">
        <is>
          <t>Scommessa / Sconosciuto</t>
        </is>
      </c>
      <c r="L25" s="2" t="n">
        <v>1</v>
      </c>
      <c r="M25" s="2" t="n">
        <v>0.85</v>
      </c>
    </row>
    <row r="26">
      <c r="A26" s="2" t="inlineStr">
        <is>
          <t>Provedel</t>
        </is>
      </c>
      <c r="B26" s="2" t="inlineStr">
        <is>
          <t>Inter</t>
        </is>
      </c>
      <c r="C26" s="2" t="inlineStr">
        <is>
          <t>P</t>
        </is>
      </c>
      <c r="D26" s="2" t="inlineStr">
        <is>
          <t>Por</t>
        </is>
      </c>
      <c r="E26" s="2" t="n">
        <v>2</v>
      </c>
      <c r="F26" s="2" t="n">
        <v>2.25</v>
      </c>
      <c r="G26" s="2" t="n">
        <v>0.5</v>
      </c>
      <c r="H26" s="8" t="inlineStr">
        <is>
          <t>Normale</t>
        </is>
      </c>
      <c r="I26" s="2">
        <f>MAX(1,TRUNC(L26*(Impostazioni!$B$2/500)*1*M26*INDEX(Impostazioni!$E$23:$E$29,MATCH(H26,Impostazioni!$D$23:$D$29,0))))</f>
        <v/>
      </c>
      <c r="J26" s="9">
        <f>MAX(1,TRUNC(L26*(Impostazioni!$B$2/500)*INDEX(Motore!$A$5:$H$8,MATCH(C26,Motore!$A$5:$A$8,0),8)*M26*INDEX(Impostazioni!$E$23:$E$29,MATCH(H26,Impostazioni!$D$23:$D$29,0))))</f>
        <v/>
      </c>
      <c r="K26" s="2" t="inlineStr">
        <is>
          <t>Scommessa / Sconosciuto</t>
        </is>
      </c>
      <c r="L26" s="2" t="n">
        <v>1</v>
      </c>
      <c r="M26" s="2" t="n">
        <v>1.18</v>
      </c>
    </row>
    <row r="27">
      <c r="A27" s="2" t="inlineStr">
        <is>
          <t>Bleve</t>
        </is>
      </c>
      <c r="B27" s="2" t="inlineStr">
        <is>
          <t>Lecce</t>
        </is>
      </c>
      <c r="C27" s="2" t="inlineStr">
        <is>
          <t>P</t>
        </is>
      </c>
      <c r="D27" s="2" t="inlineStr">
        <is>
          <t>Por</t>
        </is>
      </c>
      <c r="E27" s="2" t="n">
        <v>1</v>
      </c>
      <c r="F27" s="2" t="n">
        <v>0.8</v>
      </c>
      <c r="G27" s="2" t="n">
        <v>0.5</v>
      </c>
      <c r="H27" s="8" t="inlineStr">
        <is>
          <t>🟡 Ballottaggio</t>
        </is>
      </c>
      <c r="I27" s="2">
        <f>MAX(1,TRUNC(L27*(Impostazioni!$B$2/500)*1*M27*INDEX(Impostazioni!$E$23:$E$29,MATCH(H27,Impostazioni!$D$23:$D$29,0))))</f>
        <v/>
      </c>
      <c r="J27" s="9">
        <f>MAX(1,TRUNC(L27*(Impostazioni!$B$2/500)*INDEX(Motore!$A$5:$H$8,MATCH(C27,Motore!$A$5:$A$8,0),8)*M27*INDEX(Impostazioni!$E$23:$E$29,MATCH(H27,Impostazioni!$D$23:$D$29,0))))</f>
        <v/>
      </c>
      <c r="K27" s="2" t="inlineStr">
        <is>
          <t>Scommessa / Sconosciuto</t>
        </is>
      </c>
      <c r="L27" s="2" t="n">
        <v>1</v>
      </c>
      <c r="M27" s="2" t="n">
        <v>1</v>
      </c>
    </row>
    <row r="28">
      <c r="A28" s="2" t="inlineStr">
        <is>
          <t>Christensen O.</t>
        </is>
      </c>
      <c r="B28" s="2" t="inlineStr">
        <is>
          <t>Fiorentina</t>
        </is>
      </c>
      <c r="C28" s="2" t="inlineStr">
        <is>
          <t>P</t>
        </is>
      </c>
      <c r="D28" s="2" t="inlineStr">
        <is>
          <t>Por</t>
        </is>
      </c>
      <c r="E28" s="2" t="n">
        <v>1</v>
      </c>
      <c r="F28" s="2" t="n">
        <v>0.85</v>
      </c>
      <c r="G28" s="2" t="n">
        <v>0.5</v>
      </c>
      <c r="H28" s="8" t="inlineStr">
        <is>
          <t>🟡 Ballottaggio</t>
        </is>
      </c>
      <c r="I28" s="2">
        <f>MAX(1,TRUNC(L28*(Impostazioni!$B$2/500)*1*M28*INDEX(Impostazioni!$E$23:$E$29,MATCH(H28,Impostazioni!$D$23:$D$29,0))))</f>
        <v/>
      </c>
      <c r="J28" s="9">
        <f>MAX(1,TRUNC(L28*(Impostazioni!$B$2/500)*INDEX(Motore!$A$5:$H$8,MATCH(C28,Motore!$A$5:$A$8,0),8)*M28*INDEX(Impostazioni!$E$23:$E$29,MATCH(H28,Impostazioni!$D$23:$D$29,0))))</f>
        <v/>
      </c>
      <c r="K28" s="2" t="inlineStr">
        <is>
          <t>Scommessa / Sconosciuto</t>
        </is>
      </c>
      <c r="L28" s="2" t="n">
        <v>1</v>
      </c>
      <c r="M28" s="2" t="n">
        <v>1</v>
      </c>
    </row>
    <row r="29">
      <c r="A29" s="2" t="inlineStr">
        <is>
          <t>Contini</t>
        </is>
      </c>
      <c r="B29" s="2" t="inlineStr">
        <is>
          <t>Napoli</t>
        </is>
      </c>
      <c r="C29" s="2" t="inlineStr">
        <is>
          <t>P</t>
        </is>
      </c>
      <c r="D29" s="2" t="inlineStr">
        <is>
          <t>Por</t>
        </is>
      </c>
      <c r="E29" s="2" t="n">
        <v>1</v>
      </c>
      <c r="F29" s="2" t="n">
        <v>0.8</v>
      </c>
      <c r="G29" s="2" t="n">
        <v>0.5</v>
      </c>
      <c r="H29" s="8" t="inlineStr">
        <is>
          <t>🟡 Ballottaggio</t>
        </is>
      </c>
      <c r="I29" s="2">
        <f>MAX(1,TRUNC(L29*(Impostazioni!$B$2/500)*1*M29*INDEX(Impostazioni!$E$23:$E$29,MATCH(H29,Impostazioni!$D$23:$D$29,0))))</f>
        <v/>
      </c>
      <c r="J29" s="9">
        <f>MAX(1,TRUNC(L29*(Impostazioni!$B$2/500)*INDEX(Motore!$A$5:$H$8,MATCH(C29,Motore!$A$5:$A$8,0),8)*M29*INDEX(Impostazioni!$E$23:$E$29,MATCH(H29,Impostazioni!$D$23:$D$29,0))))</f>
        <v/>
      </c>
      <c r="K29" s="2" t="inlineStr">
        <is>
          <t>Scommessa / Sconosciuto</t>
        </is>
      </c>
      <c r="L29" s="2" t="n">
        <v>1</v>
      </c>
      <c r="M29" s="2" t="n">
        <v>1.11</v>
      </c>
    </row>
    <row r="30">
      <c r="A30" s="2" t="inlineStr">
        <is>
          <t>De Marzi</t>
        </is>
      </c>
      <c r="B30" s="2" t="inlineStr">
        <is>
          <t>Roma</t>
        </is>
      </c>
      <c r="C30" s="2" t="inlineStr">
        <is>
          <t>P</t>
        </is>
      </c>
      <c r="D30" s="2" t="inlineStr">
        <is>
          <t>Por</t>
        </is>
      </c>
      <c r="E30" s="2" t="n">
        <v>1</v>
      </c>
      <c r="F30" s="2" t="n">
        <v>0.85</v>
      </c>
      <c r="G30" s="2" t="n">
        <v>0.5</v>
      </c>
      <c r="H30" s="8" t="inlineStr">
        <is>
          <t>🟡 Ballottaggio</t>
        </is>
      </c>
      <c r="I30" s="2">
        <f>MAX(1,TRUNC(L30*(Impostazioni!$B$2/500)*1*M30*INDEX(Impostazioni!$E$23:$E$29,MATCH(H30,Impostazioni!$D$23:$D$29,0))))</f>
        <v/>
      </c>
      <c r="J30" s="9">
        <f>MAX(1,TRUNC(L30*(Impostazioni!$B$2/500)*INDEX(Motore!$A$5:$H$8,MATCH(C30,Motore!$A$5:$A$8,0),8)*M30*INDEX(Impostazioni!$E$23:$E$29,MATCH(H30,Impostazioni!$D$23:$D$29,0))))</f>
        <v/>
      </c>
      <c r="K30" s="2" t="inlineStr">
        <is>
          <t>Scommessa / Sconosciuto</t>
        </is>
      </c>
      <c r="L30" s="2" t="n">
        <v>1</v>
      </c>
      <c r="M30" s="2" t="n">
        <v>1.16</v>
      </c>
    </row>
    <row r="31">
      <c r="A31" s="2" t="inlineStr">
        <is>
          <t>Di Gennaro</t>
        </is>
      </c>
      <c r="B31" s="2" t="inlineStr">
        <is>
          <t>Inter</t>
        </is>
      </c>
      <c r="C31" s="2" t="inlineStr">
        <is>
          <t>P</t>
        </is>
      </c>
      <c r="D31" s="2" t="inlineStr">
        <is>
          <t>Por</t>
        </is>
      </c>
      <c r="E31" s="2" t="n">
        <v>1</v>
      </c>
      <c r="F31" s="2" t="n">
        <v>0.85</v>
      </c>
      <c r="G31" s="2" t="n">
        <v>0.5</v>
      </c>
      <c r="H31" s="8" t="inlineStr">
        <is>
          <t>🟡 Ballottaggio</t>
        </is>
      </c>
      <c r="I31" s="2">
        <f>MAX(1,TRUNC(L31*(Impostazioni!$B$2/500)*1*M31*INDEX(Impostazioni!$E$23:$E$29,MATCH(H31,Impostazioni!$D$23:$D$29,0))))</f>
        <v/>
      </c>
      <c r="J31" s="9">
        <f>MAX(1,TRUNC(L31*(Impostazioni!$B$2/500)*INDEX(Motore!$A$5:$H$8,MATCH(C31,Motore!$A$5:$A$8,0),8)*M31*INDEX(Impostazioni!$E$23:$E$29,MATCH(H31,Impostazioni!$D$23:$D$29,0))))</f>
        <v/>
      </c>
      <c r="K31" s="2" t="inlineStr">
        <is>
          <t>Scommessa / Sconosciuto</t>
        </is>
      </c>
      <c r="L31" s="2" t="n">
        <v>1</v>
      </c>
      <c r="M31" s="2" t="n">
        <v>1.18</v>
      </c>
    </row>
    <row r="32">
      <c r="A32" s="2" t="inlineStr">
        <is>
          <t>Ghidotti</t>
        </is>
      </c>
      <c r="B32" s="2" t="inlineStr">
        <is>
          <t>Parma</t>
        </is>
      </c>
      <c r="C32" s="2" t="inlineStr">
        <is>
          <t>P</t>
        </is>
      </c>
      <c r="D32" s="2" t="inlineStr">
        <is>
          <t>Por</t>
        </is>
      </c>
      <c r="E32" s="2" t="n">
        <v>1</v>
      </c>
      <c r="F32" s="2" t="n">
        <v>0.8</v>
      </c>
      <c r="G32" s="2" t="n">
        <v>0.5</v>
      </c>
      <c r="H32" s="8" t="inlineStr">
        <is>
          <t>🟡 Ballottaggio</t>
        </is>
      </c>
      <c r="I32" s="2">
        <f>MAX(1,TRUNC(L32*(Impostazioni!$B$2/500)*1*M32*INDEX(Impostazioni!$E$23:$E$29,MATCH(H32,Impostazioni!$D$23:$D$29,0))))</f>
        <v/>
      </c>
      <c r="J32" s="9">
        <f>MAX(1,TRUNC(L32*(Impostazioni!$B$2/500)*INDEX(Motore!$A$5:$H$8,MATCH(C32,Motore!$A$5:$A$8,0),8)*M32*INDEX(Impostazioni!$E$23:$E$29,MATCH(H32,Impostazioni!$D$23:$D$29,0))))</f>
        <v/>
      </c>
      <c r="K32" s="2" t="inlineStr">
        <is>
          <t>Scommessa / Sconosciuto</t>
        </is>
      </c>
      <c r="L32" s="2" t="n">
        <v>1</v>
      </c>
      <c r="M32" s="2" t="n">
        <v>1</v>
      </c>
    </row>
    <row r="33">
      <c r="A33" s="2" t="inlineStr">
        <is>
          <t>Gollini</t>
        </is>
      </c>
      <c r="B33" s="2" t="inlineStr">
        <is>
          <t>Roma</t>
        </is>
      </c>
      <c r="C33" s="2" t="inlineStr">
        <is>
          <t>P</t>
        </is>
      </c>
      <c r="D33" s="2" t="inlineStr">
        <is>
          <t>Por</t>
        </is>
      </c>
      <c r="E33" s="2" t="n">
        <v>1</v>
      </c>
      <c r="F33" s="2" t="n">
        <v>0.9</v>
      </c>
      <c r="G33" s="2" t="n">
        <v>0.5</v>
      </c>
      <c r="H33" s="8" t="inlineStr">
        <is>
          <t>🟡 Ballottaggio</t>
        </is>
      </c>
      <c r="I33" s="2">
        <f>MAX(1,TRUNC(L33*(Impostazioni!$B$2/500)*1*M33*INDEX(Impostazioni!$E$23:$E$29,MATCH(H33,Impostazioni!$D$23:$D$29,0))))</f>
        <v/>
      </c>
      <c r="J33" s="9">
        <f>MAX(1,TRUNC(L33*(Impostazioni!$B$2/500)*INDEX(Motore!$A$5:$H$8,MATCH(C33,Motore!$A$5:$A$8,0),8)*M33*INDEX(Impostazioni!$E$23:$E$29,MATCH(H33,Impostazioni!$D$23:$D$29,0))))</f>
        <v/>
      </c>
      <c r="K33" s="2" t="inlineStr">
        <is>
          <t>Scommessa / Sconosciuto</t>
        </is>
      </c>
      <c r="L33" s="2" t="n">
        <v>1</v>
      </c>
      <c r="M33" s="2" t="n">
        <v>1.16</v>
      </c>
    </row>
    <row r="34">
      <c r="A34" s="2" t="inlineStr">
        <is>
          <t>Grabara</t>
        </is>
      </c>
      <c r="B34" s="2" t="inlineStr">
        <is>
          <t>Juventus</t>
        </is>
      </c>
      <c r="C34" s="2" t="inlineStr">
        <is>
          <t>P</t>
        </is>
      </c>
      <c r="D34" s="2" t="inlineStr">
        <is>
          <t>Por</t>
        </is>
      </c>
      <c r="E34" s="2" t="n">
        <v>1</v>
      </c>
      <c r="F34" s="2" t="n">
        <v>0.95</v>
      </c>
      <c r="G34" s="2" t="n">
        <v>0.5</v>
      </c>
      <c r="H34" s="8" t="inlineStr">
        <is>
          <t>🟡 Ballottaggio</t>
        </is>
      </c>
      <c r="I34" s="2">
        <f>MAX(1,TRUNC(L34*(Impostazioni!$B$2/500)*1*M34*INDEX(Impostazioni!$E$23:$E$29,MATCH(H34,Impostazioni!$D$23:$D$29,0))))</f>
        <v/>
      </c>
      <c r="J34" s="9">
        <f>MAX(1,TRUNC(L34*(Impostazioni!$B$2/500)*INDEX(Motore!$A$5:$H$8,MATCH(C34,Motore!$A$5:$A$8,0),8)*M34*INDEX(Impostazioni!$E$23:$E$29,MATCH(H34,Impostazioni!$D$23:$D$29,0))))</f>
        <v/>
      </c>
      <c r="K34" s="2" t="inlineStr">
        <is>
          <t>Scommessa / Sconosciuto</t>
        </is>
      </c>
      <c r="L34" s="2" t="n">
        <v>1</v>
      </c>
      <c r="M34" s="2" t="n">
        <v>1.12</v>
      </c>
    </row>
    <row r="35">
      <c r="A35" s="2" t="inlineStr">
        <is>
          <t>Grandi</t>
        </is>
      </c>
      <c r="B35" s="2" t="inlineStr">
        <is>
          <t>Venezia</t>
        </is>
      </c>
      <c r="C35" s="2" t="inlineStr">
        <is>
          <t>P</t>
        </is>
      </c>
      <c r="D35" s="2" t="inlineStr">
        <is>
          <t>Por</t>
        </is>
      </c>
      <c r="E35" s="2" t="n">
        <v>1</v>
      </c>
      <c r="F35" s="2" t="n">
        <v>0.5</v>
      </c>
      <c r="G35" s="2" t="n">
        <v>0.5</v>
      </c>
      <c r="H35" s="8" t="inlineStr">
        <is>
          <t>🟡 Ballottaggio</t>
        </is>
      </c>
      <c r="I35" s="2">
        <f>MAX(1,TRUNC(L35*(Impostazioni!$B$2/500)*1*M35*INDEX(Impostazioni!$E$23:$E$29,MATCH(H35,Impostazioni!$D$23:$D$29,0))))</f>
        <v/>
      </c>
      <c r="J35" s="9">
        <f>MAX(1,TRUNC(L35*(Impostazioni!$B$2/500)*INDEX(Motore!$A$5:$H$8,MATCH(C35,Motore!$A$5:$A$8,0),8)*M35*INDEX(Impostazioni!$E$23:$E$29,MATCH(H35,Impostazioni!$D$23:$D$29,0))))</f>
        <v/>
      </c>
      <c r="K35" s="2" t="inlineStr">
        <is>
          <t>Scommessa / Sconosciuto</t>
        </is>
      </c>
      <c r="L35" s="2" t="n">
        <v>1</v>
      </c>
      <c r="M35" s="2" t="n">
        <v>0.85</v>
      </c>
    </row>
    <row r="36">
      <c r="A36" s="2" t="inlineStr">
        <is>
          <t>Happonen</t>
        </is>
      </c>
      <c r="B36" s="2" t="inlineStr">
        <is>
          <t>Bologna</t>
        </is>
      </c>
      <c r="C36" s="2" t="inlineStr">
        <is>
          <t>P</t>
        </is>
      </c>
      <c r="D36" s="2" t="inlineStr">
        <is>
          <t>Por</t>
        </is>
      </c>
      <c r="E36" s="2" t="n">
        <v>1</v>
      </c>
      <c r="F36" s="2" t="n">
        <v>0.9</v>
      </c>
      <c r="G36" s="2" t="n">
        <v>0.5</v>
      </c>
      <c r="H36" s="8" t="inlineStr">
        <is>
          <t>🟡 Ballottaggio</t>
        </is>
      </c>
      <c r="I36" s="2">
        <f>MAX(1,TRUNC(L36*(Impostazioni!$B$2/500)*1*M36*INDEX(Impostazioni!$E$23:$E$29,MATCH(H36,Impostazioni!$D$23:$D$29,0))))</f>
        <v/>
      </c>
      <c r="J36" s="9">
        <f>MAX(1,TRUNC(L36*(Impostazioni!$B$2/500)*INDEX(Motore!$A$5:$H$8,MATCH(C36,Motore!$A$5:$A$8,0),8)*M36*INDEX(Impostazioni!$E$23:$E$29,MATCH(H36,Impostazioni!$D$23:$D$29,0))))</f>
        <v/>
      </c>
      <c r="K36" s="2" t="inlineStr">
        <is>
          <t>Scommessa / Sconosciuto</t>
        </is>
      </c>
      <c r="L36" s="2" t="n">
        <v>1</v>
      </c>
      <c r="M36" s="2" t="n">
        <v>1.08</v>
      </c>
    </row>
    <row r="37">
      <c r="A37" s="2" t="inlineStr">
        <is>
          <t>Lezzerini</t>
        </is>
      </c>
      <c r="B37" s="2" t="inlineStr">
        <is>
          <t>Fiorentina</t>
        </is>
      </c>
      <c r="C37" s="2" t="inlineStr">
        <is>
          <t>P</t>
        </is>
      </c>
      <c r="D37" s="2" t="inlineStr">
        <is>
          <t>Por</t>
        </is>
      </c>
      <c r="E37" s="2" t="n">
        <v>1</v>
      </c>
      <c r="F37" s="2" t="n">
        <v>0.9</v>
      </c>
      <c r="G37" s="2" t="n">
        <v>0.5</v>
      </c>
      <c r="H37" s="8" t="inlineStr">
        <is>
          <t>🟡 Ballottaggio</t>
        </is>
      </c>
      <c r="I37" s="2">
        <f>MAX(1,TRUNC(L37*(Impostazioni!$B$2/500)*1*M37*INDEX(Impostazioni!$E$23:$E$29,MATCH(H37,Impostazioni!$D$23:$D$29,0))))</f>
        <v/>
      </c>
      <c r="J37" s="9">
        <f>MAX(1,TRUNC(L37*(Impostazioni!$B$2/500)*INDEX(Motore!$A$5:$H$8,MATCH(C37,Motore!$A$5:$A$8,0),8)*M37*INDEX(Impostazioni!$E$23:$E$29,MATCH(H37,Impostazioni!$D$23:$D$29,0))))</f>
        <v/>
      </c>
      <c r="K37" s="2" t="inlineStr">
        <is>
          <t>Scommessa / Sconosciuto</t>
        </is>
      </c>
      <c r="L37" s="2" t="n">
        <v>1</v>
      </c>
      <c r="M37" s="2" t="n">
        <v>1</v>
      </c>
    </row>
    <row r="38">
      <c r="A38" s="2" t="inlineStr">
        <is>
          <t>Lolic</t>
        </is>
      </c>
      <c r="B38" s="2" t="inlineStr">
        <is>
          <t>Frosinone</t>
        </is>
      </c>
      <c r="C38" s="2" t="inlineStr">
        <is>
          <t>P</t>
        </is>
      </c>
      <c r="D38" s="2" t="inlineStr">
        <is>
          <t>Por</t>
        </is>
      </c>
      <c r="E38" s="2" t="n">
        <v>1</v>
      </c>
      <c r="F38" s="2" t="n">
        <v>0.5</v>
      </c>
      <c r="G38" s="2" t="n">
        <v>0.5</v>
      </c>
      <c r="H38" s="8" t="inlineStr">
        <is>
          <t>🟡 Ballottaggio</t>
        </is>
      </c>
      <c r="I38" s="2">
        <f>MAX(1,TRUNC(L38*(Impostazioni!$B$2/500)*1*M38*INDEX(Impostazioni!$E$23:$E$29,MATCH(H38,Impostazioni!$D$23:$D$29,0))))</f>
        <v/>
      </c>
      <c r="J38" s="9">
        <f>MAX(1,TRUNC(L38*(Impostazioni!$B$2/500)*INDEX(Motore!$A$5:$H$8,MATCH(C38,Motore!$A$5:$A$8,0),8)*M38*INDEX(Impostazioni!$E$23:$E$29,MATCH(H38,Impostazioni!$D$23:$D$29,0))))</f>
        <v/>
      </c>
      <c r="K38" s="2" t="inlineStr">
        <is>
          <t>Scommessa / Sconosciuto</t>
        </is>
      </c>
      <c r="L38" s="2" t="n">
        <v>1</v>
      </c>
      <c r="M38" s="2" t="n">
        <v>0.85</v>
      </c>
    </row>
    <row r="39">
      <c r="A39" s="2" t="inlineStr">
        <is>
          <t>Mascardi</t>
        </is>
      </c>
      <c r="B39" s="2" t="inlineStr">
        <is>
          <t>Torino</t>
        </is>
      </c>
      <c r="C39" s="2" t="inlineStr">
        <is>
          <t>P</t>
        </is>
      </c>
      <c r="D39" s="2" t="inlineStr">
        <is>
          <t>Por</t>
        </is>
      </c>
      <c r="E39" s="2" t="n">
        <v>1</v>
      </c>
      <c r="F39" s="2" t="n">
        <v>0.9</v>
      </c>
      <c r="G39" s="2" t="n">
        <v>0.5</v>
      </c>
      <c r="H39" s="8" t="inlineStr">
        <is>
          <t>🟡 Ballottaggio</t>
        </is>
      </c>
      <c r="I39" s="2">
        <f>MAX(1,TRUNC(L39*(Impostazioni!$B$2/500)*1*M39*INDEX(Impostazioni!$E$23:$E$29,MATCH(H39,Impostazioni!$D$23:$D$29,0))))</f>
        <v/>
      </c>
      <c r="J39" s="9">
        <f>MAX(1,TRUNC(L39*(Impostazioni!$B$2/500)*INDEX(Motore!$A$5:$H$8,MATCH(C39,Motore!$A$5:$A$8,0),8)*M39*INDEX(Impostazioni!$E$23:$E$29,MATCH(H39,Impostazioni!$D$23:$D$29,0))))</f>
        <v/>
      </c>
      <c r="K39" s="2" t="inlineStr">
        <is>
          <t>Scommessa / Sconosciuto</t>
        </is>
      </c>
      <c r="L39" s="2" t="n">
        <v>1</v>
      </c>
      <c r="M39" s="2" t="n">
        <v>1</v>
      </c>
    </row>
    <row r="40">
      <c r="A40" s="2" t="inlineStr">
        <is>
          <t>Montipò</t>
        </is>
      </c>
      <c r="B40" s="2" t="inlineStr">
        <is>
          <t>Venezia</t>
        </is>
      </c>
      <c r="C40" s="2" t="inlineStr">
        <is>
          <t>P</t>
        </is>
      </c>
      <c r="D40" s="2" t="inlineStr">
        <is>
          <t>Por</t>
        </is>
      </c>
      <c r="E40" s="2" t="n">
        <v>1</v>
      </c>
      <c r="F40" s="2" t="n">
        <v>0.9</v>
      </c>
      <c r="G40" s="2" t="n">
        <v>0.5</v>
      </c>
      <c r="H40" s="8" t="inlineStr">
        <is>
          <t>🟡 Ballottaggio</t>
        </is>
      </c>
      <c r="I40" s="2">
        <f>MAX(1,TRUNC(L40*(Impostazioni!$B$2/500)*1*M40*INDEX(Impostazioni!$E$23:$E$29,MATCH(H40,Impostazioni!$D$23:$D$29,0))))</f>
        <v/>
      </c>
      <c r="J40" s="9">
        <f>MAX(1,TRUNC(L40*(Impostazioni!$B$2/500)*INDEX(Motore!$A$5:$H$8,MATCH(C40,Motore!$A$5:$A$8,0),8)*M40*INDEX(Impostazioni!$E$23:$E$29,MATCH(H40,Impostazioni!$D$23:$D$29,0))))</f>
        <v/>
      </c>
      <c r="K40" s="2" t="inlineStr">
        <is>
          <t>Scommessa / Sconosciuto</t>
        </is>
      </c>
      <c r="L40" s="2" t="n">
        <v>1</v>
      </c>
      <c r="M40" s="2" t="n">
        <v>0.85</v>
      </c>
    </row>
    <row r="41">
      <c r="A41" s="2" t="inlineStr">
        <is>
          <t>Motta</t>
        </is>
      </c>
      <c r="B41" s="2" t="inlineStr">
        <is>
          <t>Lazio</t>
        </is>
      </c>
      <c r="C41" s="2" t="inlineStr">
        <is>
          <t>P</t>
        </is>
      </c>
      <c r="D41" s="2" t="inlineStr">
        <is>
          <t>Por</t>
        </is>
      </c>
      <c r="E41" s="2" t="n">
        <v>1</v>
      </c>
      <c r="F41" s="2" t="n">
        <v>0.85</v>
      </c>
      <c r="G41" s="2" t="n">
        <v>0.5</v>
      </c>
      <c r="H41" s="8" t="inlineStr">
        <is>
          <t>🟡 Ballottaggio</t>
        </is>
      </c>
      <c r="I41" s="2">
        <f>MAX(1,TRUNC(L41*(Impostazioni!$B$2/500)*1*M41*INDEX(Impostazioni!$E$23:$E$29,MATCH(H41,Impostazioni!$D$23:$D$29,0))))</f>
        <v/>
      </c>
      <c r="J41" s="9">
        <f>MAX(1,TRUNC(L41*(Impostazioni!$B$2/500)*INDEX(Motore!$A$5:$H$8,MATCH(C41,Motore!$A$5:$A$8,0),8)*M41*INDEX(Impostazioni!$E$23:$E$29,MATCH(H41,Impostazioni!$D$23:$D$29,0))))</f>
        <v/>
      </c>
      <c r="K41" s="2" t="inlineStr">
        <is>
          <t>Scommessa / Sconosciuto</t>
        </is>
      </c>
      <c r="L41" s="2" t="n">
        <v>1</v>
      </c>
      <c r="M41" s="2" t="n">
        <v>1</v>
      </c>
    </row>
    <row r="42">
      <c r="A42" s="2" t="inlineStr">
        <is>
          <t>Mrozek</t>
        </is>
      </c>
      <c r="B42" s="2" t="inlineStr">
        <is>
          <t>Udinese</t>
        </is>
      </c>
      <c r="C42" s="2" t="inlineStr">
        <is>
          <t>P</t>
        </is>
      </c>
      <c r="D42" s="2" t="inlineStr">
        <is>
          <t>Por</t>
        </is>
      </c>
      <c r="E42" s="2" t="n">
        <v>1</v>
      </c>
      <c r="F42" s="2" t="n">
        <v>0.85</v>
      </c>
      <c r="G42" s="2" t="n">
        <v>0.5</v>
      </c>
      <c r="H42" s="8" t="inlineStr">
        <is>
          <t>🟡 Ballottaggio</t>
        </is>
      </c>
      <c r="I42" s="2">
        <f>MAX(1,TRUNC(L42*(Impostazioni!$B$2/500)*1*M42*INDEX(Impostazioni!$E$23:$E$29,MATCH(H42,Impostazioni!$D$23:$D$29,0))))</f>
        <v/>
      </c>
      <c r="J42" s="9">
        <f>MAX(1,TRUNC(L42*(Impostazioni!$B$2/500)*INDEX(Motore!$A$5:$H$8,MATCH(C42,Motore!$A$5:$A$8,0),8)*M42*INDEX(Impostazioni!$E$23:$E$29,MATCH(H42,Impostazioni!$D$23:$D$29,0))))</f>
        <v/>
      </c>
      <c r="K42" s="2" t="inlineStr">
        <is>
          <t>Scommessa / Sconosciuto</t>
        </is>
      </c>
      <c r="L42" s="2" t="n">
        <v>1</v>
      </c>
      <c r="M42" s="2" t="n">
        <v>1</v>
      </c>
    </row>
    <row r="43">
      <c r="A43" s="2" t="inlineStr">
        <is>
          <t>Padelli</t>
        </is>
      </c>
      <c r="B43" s="2" t="inlineStr">
        <is>
          <t>Udinese</t>
        </is>
      </c>
      <c r="C43" s="2" t="inlineStr">
        <is>
          <t>P</t>
        </is>
      </c>
      <c r="D43" s="2" t="inlineStr">
        <is>
          <t>Por</t>
        </is>
      </c>
      <c r="E43" s="2" t="n">
        <v>1</v>
      </c>
      <c r="F43" s="2" t="n">
        <v>0.85</v>
      </c>
      <c r="G43" s="2" t="n">
        <v>0.5</v>
      </c>
      <c r="H43" s="8" t="inlineStr">
        <is>
          <t>🟡 Ballottaggio</t>
        </is>
      </c>
      <c r="I43" s="2">
        <f>MAX(1,TRUNC(L43*(Impostazioni!$B$2/500)*1*M43*INDEX(Impostazioni!$E$23:$E$29,MATCH(H43,Impostazioni!$D$23:$D$29,0))))</f>
        <v/>
      </c>
      <c r="J43" s="9">
        <f>MAX(1,TRUNC(L43*(Impostazioni!$B$2/500)*INDEX(Motore!$A$5:$H$8,MATCH(C43,Motore!$A$5:$A$8,0),8)*M43*INDEX(Impostazioni!$E$23:$E$29,MATCH(H43,Impostazioni!$D$23:$D$29,0))))</f>
        <v/>
      </c>
      <c r="K43" s="2" t="inlineStr">
        <is>
          <t>Scommessa / Sconosciuto</t>
        </is>
      </c>
      <c r="L43" s="2" t="n">
        <v>1</v>
      </c>
      <c r="M43" s="2" t="n">
        <v>1</v>
      </c>
    </row>
    <row r="44">
      <c r="A44" s="2" t="inlineStr">
        <is>
          <t>Penev</t>
        </is>
      </c>
      <c r="B44" s="2" t="inlineStr">
        <is>
          <t>Lecce</t>
        </is>
      </c>
      <c r="C44" s="2" t="inlineStr">
        <is>
          <t>P</t>
        </is>
      </c>
      <c r="D44" s="2" t="inlineStr">
        <is>
          <t>Por</t>
        </is>
      </c>
      <c r="E44" s="2" t="n">
        <v>1</v>
      </c>
      <c r="F44" s="2" t="n">
        <v>0.8</v>
      </c>
      <c r="G44" s="2" t="n">
        <v>0.5</v>
      </c>
      <c r="H44" s="8" t="inlineStr">
        <is>
          <t>🟡 Ballottaggio</t>
        </is>
      </c>
      <c r="I44" s="2">
        <f>MAX(1,TRUNC(L44*(Impostazioni!$B$2/500)*1*M44*INDEX(Impostazioni!$E$23:$E$29,MATCH(H44,Impostazioni!$D$23:$D$29,0))))</f>
        <v/>
      </c>
      <c r="J44" s="9">
        <f>MAX(1,TRUNC(L44*(Impostazioni!$B$2/500)*INDEX(Motore!$A$5:$H$8,MATCH(C44,Motore!$A$5:$A$8,0),8)*M44*INDEX(Impostazioni!$E$23:$E$29,MATCH(H44,Impostazioni!$D$23:$D$29,0))))</f>
        <v/>
      </c>
      <c r="K44" s="2" t="inlineStr">
        <is>
          <t>Scommessa / Sconosciuto</t>
        </is>
      </c>
      <c r="L44" s="2" t="n">
        <v>1</v>
      </c>
      <c r="M44" s="2" t="n">
        <v>1</v>
      </c>
    </row>
    <row r="45">
      <c r="A45" s="2" t="inlineStr">
        <is>
          <t>Pessina Mas.</t>
        </is>
      </c>
      <c r="B45" s="2" t="inlineStr">
        <is>
          <t>Bologna</t>
        </is>
      </c>
      <c r="C45" s="2" t="inlineStr">
        <is>
          <t>P</t>
        </is>
      </c>
      <c r="D45" s="2" t="inlineStr">
        <is>
          <t>Por</t>
        </is>
      </c>
      <c r="E45" s="2" t="n">
        <v>1</v>
      </c>
      <c r="F45" s="2" t="n">
        <v>0.8</v>
      </c>
      <c r="G45" s="2" t="n">
        <v>0.5</v>
      </c>
      <c r="H45" s="8" t="inlineStr">
        <is>
          <t>🟡 Ballottaggio</t>
        </is>
      </c>
      <c r="I45" s="2">
        <f>MAX(1,TRUNC(L45*(Impostazioni!$B$2/500)*1*M45*INDEX(Impostazioni!$E$23:$E$29,MATCH(H45,Impostazioni!$D$23:$D$29,0))))</f>
        <v/>
      </c>
      <c r="J45" s="9">
        <f>MAX(1,TRUNC(L45*(Impostazioni!$B$2/500)*INDEX(Motore!$A$5:$H$8,MATCH(C45,Motore!$A$5:$A$8,0),8)*M45*INDEX(Impostazioni!$E$23:$E$29,MATCH(H45,Impostazioni!$D$23:$D$29,0))))</f>
        <v/>
      </c>
      <c r="K45" s="2" t="inlineStr">
        <is>
          <t>Scommessa / Sconosciuto</t>
        </is>
      </c>
      <c r="L45" s="2" t="n">
        <v>1</v>
      </c>
      <c r="M45" s="2" t="n">
        <v>1.08</v>
      </c>
    </row>
    <row r="46">
      <c r="A46" s="2" t="inlineStr">
        <is>
          <t>Piana</t>
        </is>
      </c>
      <c r="B46" s="2" t="inlineStr">
        <is>
          <t>Udinese</t>
        </is>
      </c>
      <c r="C46" s="2" t="inlineStr">
        <is>
          <t>P</t>
        </is>
      </c>
      <c r="D46" s="2" t="inlineStr">
        <is>
          <t>Por</t>
        </is>
      </c>
      <c r="E46" s="2" t="n">
        <v>1</v>
      </c>
      <c r="F46" s="2" t="n">
        <v>0.75</v>
      </c>
      <c r="G46" s="2" t="n">
        <v>0.5</v>
      </c>
      <c r="H46" s="8" t="inlineStr">
        <is>
          <t>🟡 Ballottaggio</t>
        </is>
      </c>
      <c r="I46" s="2">
        <f>MAX(1,TRUNC(L46*(Impostazioni!$B$2/500)*1*M46*INDEX(Impostazioni!$E$23:$E$29,MATCH(H46,Impostazioni!$D$23:$D$29,0))))</f>
        <v/>
      </c>
      <c r="J46" s="9">
        <f>MAX(1,TRUNC(L46*(Impostazioni!$B$2/500)*INDEX(Motore!$A$5:$H$8,MATCH(C46,Motore!$A$5:$A$8,0),8)*M46*INDEX(Impostazioni!$E$23:$E$29,MATCH(H46,Impostazioni!$D$23:$D$29,0))))</f>
        <v/>
      </c>
      <c r="K46" s="2" t="inlineStr">
        <is>
          <t>Scommessa / Sconosciuto</t>
        </is>
      </c>
      <c r="L46" s="2" t="n">
        <v>1</v>
      </c>
      <c r="M46" s="2" t="n">
        <v>1</v>
      </c>
    </row>
    <row r="47">
      <c r="A47" s="2" t="inlineStr">
        <is>
          <t>Pinsoglio</t>
        </is>
      </c>
      <c r="B47" s="2" t="inlineStr">
        <is>
          <t>Juventus</t>
        </is>
      </c>
      <c r="C47" s="2" t="inlineStr">
        <is>
          <t>P</t>
        </is>
      </c>
      <c r="D47" s="2" t="inlineStr">
        <is>
          <t>Por</t>
        </is>
      </c>
      <c r="E47" s="2" t="n">
        <v>1</v>
      </c>
      <c r="F47" s="2" t="n">
        <v>0.85</v>
      </c>
      <c r="G47" s="2" t="n">
        <v>0.5</v>
      </c>
      <c r="H47" s="8" t="inlineStr">
        <is>
          <t>🟡 Ballottaggio</t>
        </is>
      </c>
      <c r="I47" s="2">
        <f>MAX(1,TRUNC(L47*(Impostazioni!$B$2/500)*1*M47*INDEX(Impostazioni!$E$23:$E$29,MATCH(H47,Impostazioni!$D$23:$D$29,0))))</f>
        <v/>
      </c>
      <c r="J47" s="9">
        <f>MAX(1,TRUNC(L47*(Impostazioni!$B$2/500)*INDEX(Motore!$A$5:$H$8,MATCH(C47,Motore!$A$5:$A$8,0),8)*M47*INDEX(Impostazioni!$E$23:$E$29,MATCH(H47,Impostazioni!$D$23:$D$29,0))))</f>
        <v/>
      </c>
      <c r="K47" s="2" t="inlineStr">
        <is>
          <t>Scommessa / Sconosciuto</t>
        </is>
      </c>
      <c r="L47" s="2" t="n">
        <v>1</v>
      </c>
      <c r="M47" s="2" t="n">
        <v>1.12</v>
      </c>
    </row>
    <row r="48">
      <c r="A48" s="2" t="inlineStr">
        <is>
          <t>Pisseri</t>
        </is>
      </c>
      <c r="B48" s="2" t="inlineStr">
        <is>
          <t>Frosinone</t>
        </is>
      </c>
      <c r="C48" s="2" t="inlineStr">
        <is>
          <t>P</t>
        </is>
      </c>
      <c r="D48" s="2" t="inlineStr">
        <is>
          <t>Por</t>
        </is>
      </c>
      <c r="E48" s="2" t="n">
        <v>1</v>
      </c>
      <c r="F48" s="2" t="n">
        <v>0.5</v>
      </c>
      <c r="G48" s="2" t="n">
        <v>0.5</v>
      </c>
      <c r="H48" s="8" t="inlineStr">
        <is>
          <t>🟡 Ballottaggio</t>
        </is>
      </c>
      <c r="I48" s="2">
        <f>MAX(1,TRUNC(L48*(Impostazioni!$B$2/500)*1*M48*INDEX(Impostazioni!$E$23:$E$29,MATCH(H48,Impostazioni!$D$23:$D$29,0))))</f>
        <v/>
      </c>
      <c r="J48" s="9">
        <f>MAX(1,TRUNC(L48*(Impostazioni!$B$2/500)*INDEX(Motore!$A$5:$H$8,MATCH(C48,Motore!$A$5:$A$8,0),8)*M48*INDEX(Impostazioni!$E$23:$E$29,MATCH(H48,Impostazioni!$D$23:$D$29,0))))</f>
        <v/>
      </c>
      <c r="K48" s="2" t="inlineStr">
        <is>
          <t>Scommessa / Sconosciuto</t>
        </is>
      </c>
      <c r="L48" s="2" t="n">
        <v>1</v>
      </c>
      <c r="M48" s="2" t="n">
        <v>0.85</v>
      </c>
    </row>
    <row r="49">
      <c r="A49" s="2" t="inlineStr">
        <is>
          <t>Pompei</t>
        </is>
      </c>
      <c r="B49" s="2" t="inlineStr">
        <is>
          <t>Atalanta</t>
        </is>
      </c>
      <c r="C49" s="2" t="inlineStr">
        <is>
          <t>P</t>
        </is>
      </c>
      <c r="D49" s="2" t="inlineStr">
        <is>
          <t>Por</t>
        </is>
      </c>
      <c r="E49" s="2" t="n">
        <v>1</v>
      </c>
      <c r="F49" s="2" t="n">
        <v>0.85</v>
      </c>
      <c r="G49" s="2" t="n">
        <v>0.5</v>
      </c>
      <c r="H49" s="8" t="inlineStr">
        <is>
          <t>🟡 Ballottaggio</t>
        </is>
      </c>
      <c r="I49" s="2">
        <f>MAX(1,TRUNC(L49*(Impostazioni!$B$2/500)*1*M49*INDEX(Impostazioni!$E$23:$E$29,MATCH(H49,Impostazioni!$D$23:$D$29,0))))</f>
        <v/>
      </c>
      <c r="J49" s="9">
        <f>MAX(1,TRUNC(L49*(Impostazioni!$B$2/500)*INDEX(Motore!$A$5:$H$8,MATCH(C49,Motore!$A$5:$A$8,0),8)*M49*INDEX(Impostazioni!$E$23:$E$29,MATCH(H49,Impostazioni!$D$23:$D$29,0))))</f>
        <v/>
      </c>
      <c r="K49" s="2" t="inlineStr">
        <is>
          <t>Scommessa / Sconosciuto</t>
        </is>
      </c>
      <c r="L49" s="2" t="n">
        <v>1</v>
      </c>
      <c r="M49" s="2" t="n">
        <v>1.05</v>
      </c>
    </row>
    <row r="50">
      <c r="A50" s="2" t="inlineStr">
        <is>
          <t>Pozzi</t>
        </is>
      </c>
      <c r="B50" s="2" t="inlineStr">
        <is>
          <t>Venezia</t>
        </is>
      </c>
      <c r="C50" s="2" t="inlineStr">
        <is>
          <t>P</t>
        </is>
      </c>
      <c r="D50" s="2" t="inlineStr">
        <is>
          <t>Por</t>
        </is>
      </c>
      <c r="E50" s="2" t="n">
        <v>1</v>
      </c>
      <c r="F50" s="2" t="n">
        <v>0.5</v>
      </c>
      <c r="G50" s="2" t="n">
        <v>0.5</v>
      </c>
      <c r="H50" s="8" t="inlineStr">
        <is>
          <t>🟡 Ballottaggio</t>
        </is>
      </c>
      <c r="I50" s="2">
        <f>MAX(1,TRUNC(L50*(Impostazioni!$B$2/500)*1*M50*INDEX(Impostazioni!$E$23:$E$29,MATCH(H50,Impostazioni!$D$23:$D$29,0))))</f>
        <v/>
      </c>
      <c r="J50" s="9">
        <f>MAX(1,TRUNC(L50*(Impostazioni!$B$2/500)*INDEX(Motore!$A$5:$H$8,MATCH(C50,Motore!$A$5:$A$8,0),8)*M50*INDEX(Impostazioni!$E$23:$E$29,MATCH(H50,Impostazioni!$D$23:$D$29,0))))</f>
        <v/>
      </c>
      <c r="K50" s="2" t="inlineStr">
        <is>
          <t>Scommessa / Sconosciuto</t>
        </is>
      </c>
      <c r="L50" s="2" t="n">
        <v>1</v>
      </c>
      <c r="M50" s="2" t="n">
        <v>0.85</v>
      </c>
    </row>
    <row r="51">
      <c r="A51" s="2" t="inlineStr">
        <is>
          <t>Radunovic</t>
        </is>
      </c>
      <c r="B51" s="2" t="inlineStr">
        <is>
          <t>Cagliari</t>
        </is>
      </c>
      <c r="C51" s="2" t="inlineStr">
        <is>
          <t>P</t>
        </is>
      </c>
      <c r="D51" s="2" t="inlineStr">
        <is>
          <t>Por</t>
        </is>
      </c>
      <c r="E51" s="2" t="n">
        <v>1</v>
      </c>
      <c r="F51" s="2" t="n">
        <v>0.85</v>
      </c>
      <c r="G51" s="2" t="n">
        <v>0.5</v>
      </c>
      <c r="H51" s="8" t="inlineStr">
        <is>
          <t>🟡 Ballottaggio</t>
        </is>
      </c>
      <c r="I51" s="2">
        <f>MAX(1,TRUNC(L51*(Impostazioni!$B$2/500)*1*M51*INDEX(Impostazioni!$E$23:$E$29,MATCH(H51,Impostazioni!$D$23:$D$29,0))))</f>
        <v/>
      </c>
      <c r="J51" s="9">
        <f>MAX(1,TRUNC(L51*(Impostazioni!$B$2/500)*INDEX(Motore!$A$5:$H$8,MATCH(C51,Motore!$A$5:$A$8,0),8)*M51*INDEX(Impostazioni!$E$23:$E$29,MATCH(H51,Impostazioni!$D$23:$D$29,0))))</f>
        <v/>
      </c>
      <c r="K51" s="2" t="inlineStr">
        <is>
          <t>Scommessa / Sconosciuto</t>
        </is>
      </c>
      <c r="L51" s="2" t="n">
        <v>1</v>
      </c>
      <c r="M51" s="2" t="n">
        <v>1</v>
      </c>
    </row>
    <row r="52">
      <c r="A52" s="2" t="inlineStr">
        <is>
          <t>Renzetti</t>
        </is>
      </c>
      <c r="B52" s="2" t="inlineStr">
        <is>
          <t>Lazio</t>
        </is>
      </c>
      <c r="C52" s="2" t="inlineStr">
        <is>
          <t>P</t>
        </is>
      </c>
      <c r="D52" s="2" t="inlineStr">
        <is>
          <t>Por</t>
        </is>
      </c>
      <c r="E52" s="2" t="n">
        <v>1</v>
      </c>
      <c r="F52" s="2" t="n">
        <v>0.8</v>
      </c>
      <c r="G52" s="2" t="n">
        <v>0.5</v>
      </c>
      <c r="H52" s="8" t="inlineStr">
        <is>
          <t>🟡 Ballottaggio</t>
        </is>
      </c>
      <c r="I52" s="2">
        <f>MAX(1,TRUNC(L52*(Impostazioni!$B$2/500)*1*M52*INDEX(Impostazioni!$E$23:$E$29,MATCH(H52,Impostazioni!$D$23:$D$29,0))))</f>
        <v/>
      </c>
      <c r="J52" s="9">
        <f>MAX(1,TRUNC(L52*(Impostazioni!$B$2/500)*INDEX(Motore!$A$5:$H$8,MATCH(C52,Motore!$A$5:$A$8,0),8)*M52*INDEX(Impostazioni!$E$23:$E$29,MATCH(H52,Impostazioni!$D$23:$D$29,0))))</f>
        <v/>
      </c>
      <c r="K52" s="2" t="inlineStr">
        <is>
          <t>Scommessa / Sconosciuto</t>
        </is>
      </c>
      <c r="L52" s="2" t="n">
        <v>1</v>
      </c>
      <c r="M52" s="2" t="n">
        <v>1</v>
      </c>
    </row>
    <row r="53">
      <c r="A53" s="2" t="inlineStr">
        <is>
          <t>Russo A.</t>
        </is>
      </c>
      <c r="B53" s="2" t="inlineStr">
        <is>
          <t>Sassuolo</t>
        </is>
      </c>
      <c r="C53" s="2" t="inlineStr">
        <is>
          <t>P</t>
        </is>
      </c>
      <c r="D53" s="2" t="inlineStr">
        <is>
          <t>Por</t>
        </is>
      </c>
      <c r="E53" s="2" t="n">
        <v>1</v>
      </c>
      <c r="F53" s="2" t="n">
        <v>0.6</v>
      </c>
      <c r="G53" s="2" t="n">
        <v>0.5</v>
      </c>
      <c r="H53" s="8" t="inlineStr">
        <is>
          <t>🟡 Ballottaggio</t>
        </is>
      </c>
      <c r="I53" s="2">
        <f>MAX(1,TRUNC(L53*(Impostazioni!$B$2/500)*1*M53*INDEX(Impostazioni!$E$23:$E$29,MATCH(H53,Impostazioni!$D$23:$D$29,0))))</f>
        <v/>
      </c>
      <c r="J53" s="9">
        <f>MAX(1,TRUNC(L53*(Impostazioni!$B$2/500)*INDEX(Motore!$A$5:$H$8,MATCH(C53,Motore!$A$5:$A$8,0),8)*M53*INDEX(Impostazioni!$E$23:$E$29,MATCH(H53,Impostazioni!$D$23:$D$29,0))))</f>
        <v/>
      </c>
      <c r="K53" s="2" t="inlineStr">
        <is>
          <t>Scommessa / Sconosciuto</t>
        </is>
      </c>
      <c r="L53" s="2" t="n">
        <v>1</v>
      </c>
      <c r="M53" s="2" t="n">
        <v>1</v>
      </c>
    </row>
    <row r="54">
      <c r="A54" s="2" t="inlineStr">
        <is>
          <t>Satalino</t>
        </is>
      </c>
      <c r="B54" s="2" t="inlineStr">
        <is>
          <t>Sassuolo</t>
        </is>
      </c>
      <c r="C54" s="2" t="inlineStr">
        <is>
          <t>P</t>
        </is>
      </c>
      <c r="D54" s="2" t="inlineStr">
        <is>
          <t>Por</t>
        </is>
      </c>
      <c r="E54" s="2" t="n">
        <v>1</v>
      </c>
      <c r="F54" s="2" t="n">
        <v>0.75</v>
      </c>
      <c r="G54" s="2" t="n">
        <v>0.5</v>
      </c>
      <c r="H54" s="8" t="inlineStr">
        <is>
          <t>🟡 Ballottaggio</t>
        </is>
      </c>
      <c r="I54" s="2">
        <f>MAX(1,TRUNC(L54*(Impostazioni!$B$2/500)*1*M54*INDEX(Impostazioni!$E$23:$E$29,MATCH(H54,Impostazioni!$D$23:$D$29,0))))</f>
        <v/>
      </c>
      <c r="J54" s="9">
        <f>MAX(1,TRUNC(L54*(Impostazioni!$B$2/500)*INDEX(Motore!$A$5:$H$8,MATCH(C54,Motore!$A$5:$A$8,0),8)*M54*INDEX(Impostazioni!$E$23:$E$29,MATCH(H54,Impostazioni!$D$23:$D$29,0))))</f>
        <v/>
      </c>
      <c r="K54" s="2" t="inlineStr">
        <is>
          <t>Scommessa / Sconosciuto</t>
        </is>
      </c>
      <c r="L54" s="2" t="n">
        <v>1</v>
      </c>
      <c r="M54" s="2" t="n">
        <v>1</v>
      </c>
    </row>
    <row r="55">
      <c r="A55" s="2" t="inlineStr">
        <is>
          <t>Sherri</t>
        </is>
      </c>
      <c r="B55" s="2" t="inlineStr">
        <is>
          <t>Cagliari</t>
        </is>
      </c>
      <c r="C55" s="2" t="inlineStr">
        <is>
          <t>P</t>
        </is>
      </c>
      <c r="D55" s="2" t="inlineStr">
        <is>
          <t>Por</t>
        </is>
      </c>
      <c r="E55" s="2" t="n">
        <v>1</v>
      </c>
      <c r="F55" s="2" t="n">
        <v>0.8</v>
      </c>
      <c r="G55" s="2" t="n">
        <v>0.5</v>
      </c>
      <c r="H55" s="8" t="inlineStr">
        <is>
          <t>🟡 Ballottaggio</t>
        </is>
      </c>
      <c r="I55" s="2">
        <f>MAX(1,TRUNC(L55*(Impostazioni!$B$2/500)*1*M55*INDEX(Impostazioni!$E$23:$E$29,MATCH(H55,Impostazioni!$D$23:$D$29,0))))</f>
        <v/>
      </c>
      <c r="J55" s="9">
        <f>MAX(1,TRUNC(L55*(Impostazioni!$B$2/500)*INDEX(Motore!$A$5:$H$8,MATCH(C55,Motore!$A$5:$A$8,0),8)*M55*INDEX(Impostazioni!$E$23:$E$29,MATCH(H55,Impostazioni!$D$23:$D$29,0))))</f>
        <v/>
      </c>
      <c r="K55" s="2" t="inlineStr">
        <is>
          <t>Scommessa / Sconosciuto</t>
        </is>
      </c>
      <c r="L55" s="2" t="n">
        <v>1</v>
      </c>
      <c r="M55" s="2" t="n">
        <v>1</v>
      </c>
    </row>
    <row r="56">
      <c r="A56" s="2" t="inlineStr">
        <is>
          <t>Siviero</t>
        </is>
      </c>
      <c r="B56" s="2" t="inlineStr">
        <is>
          <t>Torino</t>
        </is>
      </c>
      <c r="C56" s="2" t="inlineStr">
        <is>
          <t>P</t>
        </is>
      </c>
      <c r="D56" s="2" t="inlineStr">
        <is>
          <t>Por</t>
        </is>
      </c>
      <c r="E56" s="2" t="n">
        <v>1</v>
      </c>
      <c r="F56" s="2" t="n">
        <v>0.75</v>
      </c>
      <c r="G56" s="2" t="n">
        <v>0.5</v>
      </c>
      <c r="H56" s="8" t="inlineStr">
        <is>
          <t>🟡 Ballottaggio</t>
        </is>
      </c>
      <c r="I56" s="2">
        <f>MAX(1,TRUNC(L56*(Impostazioni!$B$2/500)*1*M56*INDEX(Impostazioni!$E$23:$E$29,MATCH(H56,Impostazioni!$D$23:$D$29,0))))</f>
        <v/>
      </c>
      <c r="J56" s="9">
        <f>MAX(1,TRUNC(L56*(Impostazioni!$B$2/500)*INDEX(Motore!$A$5:$H$8,MATCH(C56,Motore!$A$5:$A$8,0),8)*M56*INDEX(Impostazioni!$E$23:$E$29,MATCH(H56,Impostazioni!$D$23:$D$29,0))))</f>
        <v/>
      </c>
      <c r="K56" s="2" t="inlineStr">
        <is>
          <t>Scommessa / Sconosciuto</t>
        </is>
      </c>
      <c r="L56" s="2" t="n">
        <v>1</v>
      </c>
      <c r="M56" s="2" t="n">
        <v>1</v>
      </c>
    </row>
    <row r="57">
      <c r="A57" s="2" t="inlineStr">
        <is>
          <t>Sommariva</t>
        </is>
      </c>
      <c r="B57" s="2" t="inlineStr">
        <is>
          <t>Genoa</t>
        </is>
      </c>
      <c r="C57" s="2" t="inlineStr">
        <is>
          <t>P</t>
        </is>
      </c>
      <c r="D57" s="2" t="inlineStr">
        <is>
          <t>Por</t>
        </is>
      </c>
      <c r="E57" s="2" t="n">
        <v>1</v>
      </c>
      <c r="F57" s="2" t="n">
        <v>0.85</v>
      </c>
      <c r="G57" s="2" t="n">
        <v>0.5</v>
      </c>
      <c r="H57" s="8" t="inlineStr">
        <is>
          <t>🟡 Ballottaggio</t>
        </is>
      </c>
      <c r="I57" s="2">
        <f>MAX(1,TRUNC(L57*(Impostazioni!$B$2/500)*1*M57*INDEX(Impostazioni!$E$23:$E$29,MATCH(H57,Impostazioni!$D$23:$D$29,0))))</f>
        <v/>
      </c>
      <c r="J57" s="9">
        <f>MAX(1,TRUNC(L57*(Impostazioni!$B$2/500)*INDEX(Motore!$A$5:$H$8,MATCH(C57,Motore!$A$5:$A$8,0),8)*M57*INDEX(Impostazioni!$E$23:$E$29,MATCH(H57,Impostazioni!$D$23:$D$29,0))))</f>
        <v/>
      </c>
      <c r="K57" s="2" t="inlineStr">
        <is>
          <t>Scommessa / Sconosciuto</t>
        </is>
      </c>
      <c r="L57" s="2" t="n">
        <v>1</v>
      </c>
      <c r="M57" s="2" t="n">
        <v>1</v>
      </c>
    </row>
    <row r="58">
      <c r="A58" s="2" t="inlineStr">
        <is>
          <t>Sportiello</t>
        </is>
      </c>
      <c r="B58" s="2" t="inlineStr">
        <is>
          <t>Atalanta</t>
        </is>
      </c>
      <c r="C58" s="2" t="inlineStr">
        <is>
          <t>P</t>
        </is>
      </c>
      <c r="D58" s="2" t="inlineStr">
        <is>
          <t>Por</t>
        </is>
      </c>
      <c r="E58" s="2" t="n">
        <v>1</v>
      </c>
      <c r="F58" s="2" t="n">
        <v>0.85</v>
      </c>
      <c r="G58" s="2" t="n">
        <v>0.5</v>
      </c>
      <c r="H58" s="8" t="inlineStr">
        <is>
          <t>🟡 Ballottaggio</t>
        </is>
      </c>
      <c r="I58" s="2">
        <f>MAX(1,TRUNC(L58*(Impostazioni!$B$2/500)*1*M58*INDEX(Impostazioni!$E$23:$E$29,MATCH(H58,Impostazioni!$D$23:$D$29,0))))</f>
        <v/>
      </c>
      <c r="J58" s="9">
        <f>MAX(1,TRUNC(L58*(Impostazioni!$B$2/500)*INDEX(Motore!$A$5:$H$8,MATCH(C58,Motore!$A$5:$A$8,0),8)*M58*INDEX(Impostazioni!$E$23:$E$29,MATCH(H58,Impostazioni!$D$23:$D$29,0))))</f>
        <v/>
      </c>
      <c r="K58" s="2" t="inlineStr">
        <is>
          <t>Scommessa / Sconosciuto</t>
        </is>
      </c>
      <c r="L58" s="2" t="n">
        <v>1</v>
      </c>
      <c r="M58" s="2" t="n">
        <v>1.05</v>
      </c>
    </row>
    <row r="59">
      <c r="A59" s="2" t="inlineStr">
        <is>
          <t>Stolz</t>
        </is>
      </c>
      <c r="B59" s="2" t="inlineStr">
        <is>
          <t>Genoa</t>
        </is>
      </c>
      <c r="C59" s="2" t="inlineStr">
        <is>
          <t>P</t>
        </is>
      </c>
      <c r="D59" s="2" t="inlineStr">
        <is>
          <t>Por</t>
        </is>
      </c>
      <c r="E59" s="2" t="n">
        <v>1</v>
      </c>
      <c r="F59" s="2" t="n">
        <v>0.85</v>
      </c>
      <c r="G59" s="2" t="n">
        <v>0.5</v>
      </c>
      <c r="H59" s="8" t="inlineStr">
        <is>
          <t>🟡 Ballottaggio</t>
        </is>
      </c>
      <c r="I59" s="2">
        <f>MAX(1,TRUNC(L59*(Impostazioni!$B$2/500)*1*M59*INDEX(Impostazioni!$E$23:$E$29,MATCH(H59,Impostazioni!$D$23:$D$29,0))))</f>
        <v/>
      </c>
      <c r="J59" s="9">
        <f>MAX(1,TRUNC(L59*(Impostazioni!$B$2/500)*INDEX(Motore!$A$5:$H$8,MATCH(C59,Motore!$A$5:$A$8,0),8)*M59*INDEX(Impostazioni!$E$23:$E$29,MATCH(H59,Impostazioni!$D$23:$D$29,0))))</f>
        <v/>
      </c>
      <c r="K59" s="2" t="inlineStr">
        <is>
          <t>Scommessa / Sconosciuto</t>
        </is>
      </c>
      <c r="L59" s="2" t="n">
        <v>1</v>
      </c>
      <c r="M59" s="2" t="n">
        <v>1</v>
      </c>
    </row>
    <row r="60">
      <c r="A60" s="2" t="inlineStr">
        <is>
          <t>Strajnar</t>
        </is>
      </c>
      <c r="B60" s="2" t="inlineStr">
        <is>
          <t>Monza</t>
        </is>
      </c>
      <c r="C60" s="2" t="inlineStr">
        <is>
          <t>P</t>
        </is>
      </c>
      <c r="D60" s="2" t="inlineStr">
        <is>
          <t>Por</t>
        </is>
      </c>
      <c r="E60" s="2" t="n">
        <v>1</v>
      </c>
      <c r="F60" s="2" t="n">
        <v>0.5</v>
      </c>
      <c r="G60" s="2" t="n">
        <v>0.5</v>
      </c>
      <c r="H60" s="8" t="inlineStr">
        <is>
          <t>🟡 Ballottaggio</t>
        </is>
      </c>
      <c r="I60" s="2">
        <f>MAX(1,TRUNC(L60*(Impostazioni!$B$2/500)*1*M60*INDEX(Impostazioni!$E$23:$E$29,MATCH(H60,Impostazioni!$D$23:$D$29,0))))</f>
        <v/>
      </c>
      <c r="J60" s="9">
        <f>MAX(1,TRUNC(L60*(Impostazioni!$B$2/500)*INDEX(Motore!$A$5:$H$8,MATCH(C60,Motore!$A$5:$A$8,0),8)*M60*INDEX(Impostazioni!$E$23:$E$29,MATCH(H60,Impostazioni!$D$23:$D$29,0))))</f>
        <v/>
      </c>
      <c r="K60" s="2" t="inlineStr">
        <is>
          <t>Scommessa / Sconosciuto</t>
        </is>
      </c>
      <c r="L60" s="2" t="n">
        <v>1</v>
      </c>
      <c r="M60" s="2" t="n">
        <v>0.85</v>
      </c>
    </row>
    <row r="61">
      <c r="A61" s="2" t="inlineStr">
        <is>
          <t>Terracciano</t>
        </is>
      </c>
      <c r="B61" s="2" t="inlineStr">
        <is>
          <t>Milan</t>
        </is>
      </c>
      <c r="C61" s="2" t="inlineStr">
        <is>
          <t>P</t>
        </is>
      </c>
      <c r="D61" s="2" t="inlineStr">
        <is>
          <t>Por</t>
        </is>
      </c>
      <c r="E61" s="2" t="n">
        <v>1</v>
      </c>
      <c r="F61" s="2" t="n">
        <v>0.85</v>
      </c>
      <c r="G61" s="2" t="n">
        <v>0.5</v>
      </c>
      <c r="H61" s="8" t="inlineStr">
        <is>
          <t>🟡 Ballottaggio</t>
        </is>
      </c>
      <c r="I61" s="2">
        <f>MAX(1,TRUNC(L61*(Impostazioni!$B$2/500)*1*M61*INDEX(Impostazioni!$E$23:$E$29,MATCH(H61,Impostazioni!$D$23:$D$29,0))))</f>
        <v/>
      </c>
      <c r="J61" s="9">
        <f>MAX(1,TRUNC(L61*(Impostazioni!$B$2/500)*INDEX(Motore!$A$5:$H$8,MATCH(C61,Motore!$A$5:$A$8,0),8)*M61*INDEX(Impostazioni!$E$23:$E$29,MATCH(H61,Impostazioni!$D$23:$D$29,0))))</f>
        <v/>
      </c>
      <c r="K61" s="2" t="inlineStr">
        <is>
          <t>Scommessa / Sconosciuto</t>
        </is>
      </c>
      <c r="L61" s="2" t="n">
        <v>1</v>
      </c>
      <c r="M61" s="2" t="n">
        <v>1.09</v>
      </c>
    </row>
    <row r="62">
      <c r="A62" s="2" t="inlineStr">
        <is>
          <t>Tornqvist</t>
        </is>
      </c>
      <c r="B62" s="2" t="inlineStr">
        <is>
          <t>Monza</t>
        </is>
      </c>
      <c r="C62" s="2" t="inlineStr">
        <is>
          <t>P</t>
        </is>
      </c>
      <c r="D62" s="2" t="inlineStr">
        <is>
          <t>Por</t>
        </is>
      </c>
      <c r="E62" s="2" t="n">
        <v>1</v>
      </c>
      <c r="F62" s="2" t="n">
        <v>0.85</v>
      </c>
      <c r="G62" s="2" t="n">
        <v>0.5</v>
      </c>
      <c r="H62" s="8" t="inlineStr">
        <is>
          <t>Normale</t>
        </is>
      </c>
      <c r="I62" s="2">
        <f>MAX(1,TRUNC(L62*(Impostazioni!$B$2/500)*1*M62*INDEX(Impostazioni!$E$23:$E$29,MATCH(H62,Impostazioni!$D$23:$D$29,0))))</f>
        <v/>
      </c>
      <c r="J62" s="9">
        <f>MAX(1,TRUNC(L62*(Impostazioni!$B$2/500)*INDEX(Motore!$A$5:$H$8,MATCH(C62,Motore!$A$5:$A$8,0),8)*M62*INDEX(Impostazioni!$E$23:$E$29,MATCH(H62,Impostazioni!$D$23:$D$29,0))))</f>
        <v/>
      </c>
      <c r="K62" s="2" t="inlineStr">
        <is>
          <t>Scommessa / Sconosciuto</t>
        </is>
      </c>
      <c r="L62" s="2" t="n">
        <v>1</v>
      </c>
      <c r="M62" s="2" t="n">
        <v>0.85</v>
      </c>
    </row>
    <row r="63">
      <c r="A63" s="2" t="inlineStr">
        <is>
          <t>Torriani</t>
        </is>
      </c>
      <c r="B63" s="2" t="inlineStr">
        <is>
          <t>Milan</t>
        </is>
      </c>
      <c r="C63" s="2" t="inlineStr">
        <is>
          <t>P</t>
        </is>
      </c>
      <c r="D63" s="2" t="inlineStr">
        <is>
          <t>Por</t>
        </is>
      </c>
      <c r="E63" s="2" t="n">
        <v>1</v>
      </c>
      <c r="F63" s="2" t="n">
        <v>0.85</v>
      </c>
      <c r="G63" s="2" t="n">
        <v>0.5</v>
      </c>
      <c r="H63" s="8" t="inlineStr">
        <is>
          <t>🟡 Ballottaggio</t>
        </is>
      </c>
      <c r="I63" s="2">
        <f>MAX(1,TRUNC(L63*(Impostazioni!$B$2/500)*1*M63*INDEX(Impostazioni!$E$23:$E$29,MATCH(H63,Impostazioni!$D$23:$D$29,0))))</f>
        <v/>
      </c>
      <c r="J63" s="9">
        <f>MAX(1,TRUNC(L63*(Impostazioni!$B$2/500)*INDEX(Motore!$A$5:$H$8,MATCH(C63,Motore!$A$5:$A$8,0),8)*M63*INDEX(Impostazioni!$E$23:$E$29,MATCH(H63,Impostazioni!$D$23:$D$29,0))))</f>
        <v/>
      </c>
      <c r="K63" s="2" t="inlineStr">
        <is>
          <t>Scommessa / Sconosciuto</t>
        </is>
      </c>
      <c r="L63" s="2" t="n">
        <v>1</v>
      </c>
      <c r="M63" s="2" t="n">
        <v>1.09</v>
      </c>
    </row>
    <row r="64">
      <c r="A64" s="2" t="inlineStr">
        <is>
          <t>Turati</t>
        </is>
      </c>
      <c r="B64" s="2" t="inlineStr">
        <is>
          <t>Sassuolo</t>
        </is>
      </c>
      <c r="C64" s="2" t="inlineStr">
        <is>
          <t>P</t>
        </is>
      </c>
      <c r="D64" s="2" t="inlineStr">
        <is>
          <t>Por</t>
        </is>
      </c>
      <c r="E64" s="2" t="n">
        <v>1</v>
      </c>
      <c r="F64" s="2" t="n">
        <v>0.8</v>
      </c>
      <c r="G64" s="2" t="n">
        <v>0.5</v>
      </c>
      <c r="H64" s="8" t="inlineStr">
        <is>
          <t>🟡 Ballottaggio</t>
        </is>
      </c>
      <c r="I64" s="2">
        <f>MAX(1,TRUNC(L64*(Impostazioni!$B$2/500)*1*M64*INDEX(Impostazioni!$E$23:$E$29,MATCH(H64,Impostazioni!$D$23:$D$29,0))))</f>
        <v/>
      </c>
      <c r="J64" s="9">
        <f>MAX(1,TRUNC(L64*(Impostazioni!$B$2/500)*INDEX(Motore!$A$5:$H$8,MATCH(C64,Motore!$A$5:$A$8,0),8)*M64*INDEX(Impostazioni!$E$23:$E$29,MATCH(H64,Impostazioni!$D$23:$D$29,0))))</f>
        <v/>
      </c>
      <c r="K64" s="2" t="inlineStr">
        <is>
          <t>Scommessa / Sconosciuto</t>
        </is>
      </c>
      <c r="L64" s="2" t="n">
        <v>1</v>
      </c>
      <c r="M64" s="2" t="n">
        <v>1</v>
      </c>
    </row>
    <row r="65">
      <c r="A65" s="2" t="inlineStr">
        <is>
          <t>Vigorito</t>
        </is>
      </c>
      <c r="B65" s="2" t="inlineStr">
        <is>
          <t>Como</t>
        </is>
      </c>
      <c r="C65" s="2" t="inlineStr">
        <is>
          <t>P</t>
        </is>
      </c>
      <c r="D65" s="2" t="inlineStr">
        <is>
          <t>Por</t>
        </is>
      </c>
      <c r="E65" s="2" t="n">
        <v>1</v>
      </c>
      <c r="F65" s="2" t="n">
        <v>0.85</v>
      </c>
      <c r="G65" s="2" t="n">
        <v>0.5</v>
      </c>
      <c r="H65" s="8" t="inlineStr">
        <is>
          <t>🟡 Ballottaggio</t>
        </is>
      </c>
      <c r="I65" s="2">
        <f>MAX(1,TRUNC(L65*(Impostazioni!$B$2/500)*1*M65*INDEX(Impostazioni!$E$23:$E$29,MATCH(H65,Impostazioni!$D$23:$D$29,0))))</f>
        <v/>
      </c>
      <c r="J65" s="9">
        <f>MAX(1,TRUNC(L65*(Impostazioni!$B$2/500)*INDEX(Motore!$A$5:$H$8,MATCH(C65,Motore!$A$5:$A$8,0),8)*M65*INDEX(Impostazioni!$E$23:$E$29,MATCH(H65,Impostazioni!$D$23:$D$29,0))))</f>
        <v/>
      </c>
      <c r="K65" s="2" t="inlineStr">
        <is>
          <t>Scommessa / Sconosciuto</t>
        </is>
      </c>
      <c r="L65" s="2" t="n">
        <v>1</v>
      </c>
      <c r="M65" s="2" t="n">
        <v>1.19</v>
      </c>
    </row>
    <row r="66">
      <c r="A66" s="2" t="inlineStr">
        <is>
          <t>Dimarco</t>
        </is>
      </c>
      <c r="B66" s="2" t="inlineStr">
        <is>
          <t>Inter</t>
        </is>
      </c>
      <c r="C66" s="2" t="inlineStr">
        <is>
          <t>D</t>
        </is>
      </c>
      <c r="D66" s="2" t="inlineStr">
        <is>
          <t>E/W</t>
        </is>
      </c>
      <c r="E66" s="2" t="n">
        <v>31</v>
      </c>
      <c r="F66" s="2" t="n">
        <v>71</v>
      </c>
      <c r="G66" s="2" t="n">
        <v>52.7</v>
      </c>
      <c r="H66" s="8" t="inlineStr">
        <is>
          <t>Normale</t>
        </is>
      </c>
      <c r="I66" s="2">
        <f>MAX(1,TRUNC(L66*(Impostazioni!$B$2/500)*1*M66*INDEX(Impostazioni!$E$23:$E$29,MATCH(H66,Impostazioni!$D$23:$D$29,0))))</f>
        <v/>
      </c>
      <c r="J66" s="9">
        <f>MAX(1,TRUNC(L66*(Impostazioni!$B$2/500)*INDEX(Motore!$A$5:$H$8,MATCH(C66,Motore!$A$5:$A$8,0),8)*M66*INDEX(Impostazioni!$E$23:$E$29,MATCH(H66,Impostazioni!$D$23:$D$29,0))))</f>
        <v/>
      </c>
      <c r="K66" s="2" t="inlineStr">
        <is>
          <t>🌟 Nuovo Arrivo TOP</t>
        </is>
      </c>
      <c r="L66" s="2" t="n">
        <v>49.6</v>
      </c>
      <c r="M66" s="2" t="n">
        <v>1.18</v>
      </c>
    </row>
    <row r="67">
      <c r="A67" s="2" t="inlineStr">
        <is>
          <t>Molina N.</t>
        </is>
      </c>
      <c r="B67" s="2" t="inlineStr">
        <is>
          <t>Roma</t>
        </is>
      </c>
      <c r="C67" s="2" t="inlineStr">
        <is>
          <t>D</t>
        </is>
      </c>
      <c r="D67" s="2" t="inlineStr">
        <is>
          <t>E</t>
        </is>
      </c>
      <c r="E67" s="2" t="n">
        <v>18</v>
      </c>
      <c r="F67" s="2" t="n">
        <v>22.5</v>
      </c>
      <c r="G67" s="2" t="n">
        <v>20.8</v>
      </c>
      <c r="H67" s="8" t="inlineStr">
        <is>
          <t>Normale</t>
        </is>
      </c>
      <c r="I67" s="2">
        <f>MAX(1,TRUNC(L67*(Impostazioni!$B$2/500)*1*M67*INDEX(Impostazioni!$E$23:$E$29,MATCH(H67,Impostazioni!$D$23:$D$29,0))))</f>
        <v/>
      </c>
      <c r="J67" s="9">
        <f>MAX(1,TRUNC(L67*(Impostazioni!$B$2/500)*INDEX(Motore!$A$5:$H$8,MATCH(C67,Motore!$A$5:$A$8,0),8)*M67*INDEX(Impostazioni!$E$23:$E$29,MATCH(H67,Impostazioni!$D$23:$D$29,0))))</f>
        <v/>
      </c>
      <c r="K67" s="2" t="inlineStr">
        <is>
          <t>🌟 Nuovo Arrivo TOP</t>
        </is>
      </c>
      <c r="L67" s="2" t="n">
        <v>28.8</v>
      </c>
      <c r="M67" s="2" t="n">
        <v>1.16</v>
      </c>
    </row>
    <row r="68">
      <c r="A68" s="2" t="inlineStr">
        <is>
          <t>Wesley</t>
        </is>
      </c>
      <c r="B68" s="2" t="inlineStr">
        <is>
          <t>Roma</t>
        </is>
      </c>
      <c r="C68" s="2" t="inlineStr">
        <is>
          <t>D</t>
        </is>
      </c>
      <c r="D68" s="2" t="inlineStr">
        <is>
          <t>E</t>
        </is>
      </c>
      <c r="E68" s="2" t="n">
        <v>18</v>
      </c>
      <c r="F68" s="2" t="n">
        <v>36.9</v>
      </c>
      <c r="G68" s="2" t="n">
        <v>29.4</v>
      </c>
      <c r="H68" s="8" t="inlineStr">
        <is>
          <t>Normale</t>
        </is>
      </c>
      <c r="I68" s="2">
        <f>MAX(1,TRUNC(L68*(Impostazioni!$B$2/500)*1*M68*INDEX(Impostazioni!$E$23:$E$29,MATCH(H68,Impostazioni!$D$23:$D$29,0))))</f>
        <v/>
      </c>
      <c r="J68" s="9">
        <f>MAX(1,TRUNC(L68*(Impostazioni!$B$2/500)*INDEX(Motore!$A$5:$H$8,MATCH(C68,Motore!$A$5:$A$8,0),8)*M68*INDEX(Impostazioni!$E$23:$E$29,MATCH(H68,Impostazioni!$D$23:$D$29,0))))</f>
        <v/>
      </c>
      <c r="K68" s="2" t="inlineStr">
        <is>
          <t>🌟 Nuovo Arrivo TOP</t>
        </is>
      </c>
      <c r="L68" s="2" t="n">
        <v>28.8</v>
      </c>
      <c r="M68" s="2" t="n">
        <v>1.16</v>
      </c>
    </row>
    <row r="69">
      <c r="A69" s="2" t="inlineStr">
        <is>
          <t>Bremer</t>
        </is>
      </c>
      <c r="B69" s="2" t="inlineStr">
        <is>
          <t>Juventus</t>
        </is>
      </c>
      <c r="C69" s="2" t="inlineStr">
        <is>
          <t>D</t>
        </is>
      </c>
      <c r="D69" s="2" t="inlineStr">
        <is>
          <t>Dc</t>
        </is>
      </c>
      <c r="E69" s="2" t="n">
        <v>16</v>
      </c>
      <c r="F69" s="2" t="n">
        <v>28.85</v>
      </c>
      <c r="G69" s="2" t="n">
        <v>18.95</v>
      </c>
      <c r="H69" s="8" t="inlineStr">
        <is>
          <t>Normale</t>
        </is>
      </c>
      <c r="I69" s="2">
        <f>MAX(1,TRUNC(L69*(Impostazioni!$B$2/500)*1*M69*INDEX(Impostazioni!$E$23:$E$29,MATCH(H69,Impostazioni!$D$23:$D$29,0))))</f>
        <v/>
      </c>
      <c r="J69" s="9">
        <f>MAX(1,TRUNC(L69*(Impostazioni!$B$2/500)*INDEX(Motore!$A$5:$H$8,MATCH(C69,Motore!$A$5:$A$8,0),8)*M69*INDEX(Impostazioni!$E$23:$E$29,MATCH(H69,Impostazioni!$D$23:$D$29,0))))</f>
        <v/>
      </c>
      <c r="K69" s="2" t="inlineStr">
        <is>
          <t>🌟 Nuovo Arrivo TOP</t>
        </is>
      </c>
      <c r="L69" s="2" t="n">
        <v>25.6</v>
      </c>
      <c r="M69" s="2" t="n">
        <v>1.12</v>
      </c>
    </row>
    <row r="70">
      <c r="A70" s="2" t="inlineStr">
        <is>
          <t>Mancini</t>
        </is>
      </c>
      <c r="B70" s="2" t="inlineStr">
        <is>
          <t>Roma</t>
        </is>
      </c>
      <c r="C70" s="2" t="inlineStr">
        <is>
          <t>D</t>
        </is>
      </c>
      <c r="D70" s="2" t="inlineStr">
        <is>
          <t>Dc</t>
        </is>
      </c>
      <c r="E70" s="2" t="n">
        <v>16</v>
      </c>
      <c r="F70" s="2" t="n">
        <v>23.3</v>
      </c>
      <c r="G70" s="2" t="n">
        <v>20.75</v>
      </c>
      <c r="H70" s="8" t="inlineStr">
        <is>
          <t>Normale</t>
        </is>
      </c>
      <c r="I70" s="2">
        <f>MAX(1,TRUNC(L70*(Impostazioni!$B$2/500)*1*M70*INDEX(Impostazioni!$E$23:$E$29,MATCH(H70,Impostazioni!$D$23:$D$29,0))))</f>
        <v/>
      </c>
      <c r="J70" s="9">
        <f>MAX(1,TRUNC(L70*(Impostazioni!$B$2/500)*INDEX(Motore!$A$5:$H$8,MATCH(C70,Motore!$A$5:$A$8,0),8)*M70*INDEX(Impostazioni!$E$23:$E$29,MATCH(H70,Impostazioni!$D$23:$D$29,0))))</f>
        <v/>
      </c>
      <c r="K70" s="2" t="inlineStr">
        <is>
          <t>🌟 Nuovo Arrivo TOP</t>
        </is>
      </c>
      <c r="L70" s="2" t="n">
        <v>25.6</v>
      </c>
      <c r="M70" s="2" t="n">
        <v>1.16</v>
      </c>
    </row>
    <row r="71">
      <c r="A71" s="2" t="inlineStr">
        <is>
          <t>Akanji</t>
        </is>
      </c>
      <c r="B71" s="2" t="inlineStr">
        <is>
          <t>Inter</t>
        </is>
      </c>
      <c r="C71" s="2" t="inlineStr">
        <is>
          <t>D</t>
        </is>
      </c>
      <c r="D71" s="2" t="inlineStr">
        <is>
          <t>Dc</t>
        </is>
      </c>
      <c r="E71" s="2" t="n">
        <v>15</v>
      </c>
      <c r="F71" s="2" t="n">
        <v>20.95</v>
      </c>
      <c r="G71" s="2" t="n">
        <v>15.8</v>
      </c>
      <c r="H71" s="8" t="inlineStr">
        <is>
          <t>🟡 Ballottaggio</t>
        </is>
      </c>
      <c r="I71" s="2">
        <f>MAX(1,TRUNC(L71*(Impostazioni!$B$2/500)*1*M71*INDEX(Impostazioni!$E$23:$E$29,MATCH(H71,Impostazioni!$D$23:$D$29,0))))</f>
        <v/>
      </c>
      <c r="J71" s="9">
        <f>MAX(1,TRUNC(L71*(Impostazioni!$B$2/500)*INDEX(Motore!$A$5:$H$8,MATCH(C71,Motore!$A$5:$A$8,0),8)*M71*INDEX(Impostazioni!$E$23:$E$29,MATCH(H71,Impostazioni!$D$23:$D$29,0))))</f>
        <v/>
      </c>
      <c r="K71" s="2" t="inlineStr">
        <is>
          <t>🌟 Nuovo Arrivo TOP</t>
        </is>
      </c>
      <c r="L71" s="2" t="n">
        <v>24</v>
      </c>
      <c r="M71" s="2" t="n">
        <v>1.18</v>
      </c>
    </row>
    <row r="72">
      <c r="A72" s="2" t="inlineStr">
        <is>
          <t>Rrahmani</t>
        </is>
      </c>
      <c r="B72" s="2" t="inlineStr">
        <is>
          <t>Napoli</t>
        </is>
      </c>
      <c r="C72" s="2" t="inlineStr">
        <is>
          <t>D</t>
        </is>
      </c>
      <c r="D72" s="2" t="inlineStr">
        <is>
          <t>Dc</t>
        </is>
      </c>
      <c r="E72" s="2" t="n">
        <v>15</v>
      </c>
      <c r="F72" s="2" t="n">
        <v>18.15</v>
      </c>
      <c r="G72" s="2" t="n">
        <v>17.45</v>
      </c>
      <c r="H72" s="8" t="inlineStr">
        <is>
          <t>Normale</t>
        </is>
      </c>
      <c r="I72" s="2">
        <f>MAX(1,TRUNC(L72*(Impostazioni!$B$2/500)*1*M72*INDEX(Impostazioni!$E$23:$E$29,MATCH(H72,Impostazioni!$D$23:$D$29,0))))</f>
        <v/>
      </c>
      <c r="J72" s="9">
        <f>MAX(1,TRUNC(L72*(Impostazioni!$B$2/500)*INDEX(Motore!$A$5:$H$8,MATCH(C72,Motore!$A$5:$A$8,0),8)*M72*INDEX(Impostazioni!$E$23:$E$29,MATCH(H72,Impostazioni!$D$23:$D$29,0))))</f>
        <v/>
      </c>
      <c r="K72" s="2" t="inlineStr">
        <is>
          <t>🌟 Nuovo Arrivo TOP</t>
        </is>
      </c>
      <c r="L72" s="2" t="n">
        <v>24</v>
      </c>
      <c r="M72" s="2" t="n">
        <v>1.11</v>
      </c>
    </row>
    <row r="73">
      <c r="A73" s="2" t="inlineStr">
        <is>
          <t>Bastoni</t>
        </is>
      </c>
      <c r="B73" s="2" t="inlineStr">
        <is>
          <t>Inter</t>
        </is>
      </c>
      <c r="C73" s="2" t="inlineStr">
        <is>
          <t>D</t>
        </is>
      </c>
      <c r="D73" s="2" t="inlineStr">
        <is>
          <t>Dc</t>
        </is>
      </c>
      <c r="E73" s="2" t="n">
        <v>14</v>
      </c>
      <c r="F73" s="2" t="n">
        <v>24.1</v>
      </c>
      <c r="G73" s="2" t="n">
        <v>16.25</v>
      </c>
      <c r="H73" s="8" t="inlineStr">
        <is>
          <t>Normale</t>
        </is>
      </c>
      <c r="I73" s="2">
        <f>MAX(1,TRUNC(L73*(Impostazioni!$B$2/500)*1*M73*INDEX(Impostazioni!$E$23:$E$29,MATCH(H73,Impostazioni!$D$23:$D$29,0))))</f>
        <v/>
      </c>
      <c r="J73" s="9">
        <f>MAX(1,TRUNC(L73*(Impostazioni!$B$2/500)*INDEX(Motore!$A$5:$H$8,MATCH(C73,Motore!$A$5:$A$8,0),8)*M73*INDEX(Impostazioni!$E$23:$E$29,MATCH(H73,Impostazioni!$D$23:$D$29,0))))</f>
        <v/>
      </c>
      <c r="K73" s="2" t="inlineStr">
        <is>
          <t>🌟 Nuovo Arrivo TOP</t>
        </is>
      </c>
      <c r="L73" s="2" t="n">
        <v>22.4</v>
      </c>
      <c r="M73" s="2" t="n">
        <v>1.18</v>
      </c>
    </row>
    <row r="74">
      <c r="A74" s="2" t="inlineStr">
        <is>
          <t>Kalulu</t>
        </is>
      </c>
      <c r="B74" s="2" t="inlineStr">
        <is>
          <t>Juventus</t>
        </is>
      </c>
      <c r="C74" s="2" t="inlineStr">
        <is>
          <t>D</t>
        </is>
      </c>
      <c r="D74" s="2" t="inlineStr">
        <is>
          <t>Dd/Dc</t>
        </is>
      </c>
      <c r="E74" s="2" t="n">
        <v>14</v>
      </c>
      <c r="F74" s="2" t="n">
        <v>21.25</v>
      </c>
      <c r="G74" s="2" t="n">
        <v>16.6</v>
      </c>
      <c r="H74" s="8" t="inlineStr">
        <is>
          <t>Normale</t>
        </is>
      </c>
      <c r="I74" s="2">
        <f>MAX(1,TRUNC(L74*(Impostazioni!$B$2/500)*1*M74*INDEX(Impostazioni!$E$23:$E$29,MATCH(H74,Impostazioni!$D$23:$D$29,0))))</f>
        <v/>
      </c>
      <c r="J74" s="9">
        <f>MAX(1,TRUNC(L74*(Impostazioni!$B$2/500)*INDEX(Motore!$A$5:$H$8,MATCH(C74,Motore!$A$5:$A$8,0),8)*M74*INDEX(Impostazioni!$E$23:$E$29,MATCH(H74,Impostazioni!$D$23:$D$29,0))))</f>
        <v/>
      </c>
      <c r="K74" s="2" t="inlineStr">
        <is>
          <t>🌟 Nuovo Arrivo TOP</t>
        </is>
      </c>
      <c r="L74" s="2" t="n">
        <v>22.4</v>
      </c>
      <c r="M74" s="2" t="n">
        <v>1.12</v>
      </c>
    </row>
    <row r="75">
      <c r="A75" s="2" t="inlineStr">
        <is>
          <t>Pavlovic</t>
        </is>
      </c>
      <c r="B75" s="2" t="inlineStr">
        <is>
          <t>Milan</t>
        </is>
      </c>
      <c r="C75" s="2" t="inlineStr">
        <is>
          <t>D</t>
        </is>
      </c>
      <c r="D75" s="2" t="inlineStr">
        <is>
          <t>Dc</t>
        </is>
      </c>
      <c r="E75" s="2" t="n">
        <v>14</v>
      </c>
      <c r="F75" s="2" t="n">
        <v>18</v>
      </c>
      <c r="G75" s="2" t="n">
        <v>18.45</v>
      </c>
      <c r="H75" s="8" t="inlineStr">
        <is>
          <t>Normale</t>
        </is>
      </c>
      <c r="I75" s="2">
        <f>MAX(1,TRUNC(L75*(Impostazioni!$B$2/500)*1*M75*INDEX(Impostazioni!$E$23:$E$29,MATCH(H75,Impostazioni!$D$23:$D$29,0))))</f>
        <v/>
      </c>
      <c r="J75" s="9">
        <f>MAX(1,TRUNC(L75*(Impostazioni!$B$2/500)*INDEX(Motore!$A$5:$H$8,MATCH(C75,Motore!$A$5:$A$8,0),8)*M75*INDEX(Impostazioni!$E$23:$E$29,MATCH(H75,Impostazioni!$D$23:$D$29,0))))</f>
        <v/>
      </c>
      <c r="K75" s="2" t="inlineStr">
        <is>
          <t>🌟 Nuovo Arrivo TOP</t>
        </is>
      </c>
      <c r="L75" s="2" t="n">
        <v>22.4</v>
      </c>
      <c r="M75" s="2" t="n">
        <v>1.09</v>
      </c>
    </row>
    <row r="76">
      <c r="A76" s="2" t="inlineStr">
        <is>
          <t>Gila</t>
        </is>
      </c>
      <c r="B76" s="2" t="inlineStr">
        <is>
          <t>Milan</t>
        </is>
      </c>
      <c r="C76" s="2" t="inlineStr">
        <is>
          <t>D</t>
        </is>
      </c>
      <c r="D76" s="2" t="inlineStr">
        <is>
          <t>Dc</t>
        </is>
      </c>
      <c r="E76" s="2" t="n">
        <v>13</v>
      </c>
      <c r="F76" s="2" t="n">
        <v>17.5</v>
      </c>
      <c r="G76" s="2" t="n">
        <v>13.8</v>
      </c>
      <c r="H76" s="8" t="inlineStr">
        <is>
          <t>Normale</t>
        </is>
      </c>
      <c r="I76" s="2">
        <f>MAX(1,TRUNC(L76*(Impostazioni!$B$2/500)*1*M76*INDEX(Impostazioni!$E$23:$E$29,MATCH(H76,Impostazioni!$D$23:$D$29,0))))</f>
        <v/>
      </c>
      <c r="J76" s="9">
        <f>MAX(1,TRUNC(L76*(Impostazioni!$B$2/500)*INDEX(Motore!$A$5:$H$8,MATCH(C76,Motore!$A$5:$A$8,0),8)*M76*INDEX(Impostazioni!$E$23:$E$29,MATCH(H76,Impostazioni!$D$23:$D$29,0))))</f>
        <v/>
      </c>
      <c r="K76" s="2" t="inlineStr">
        <is>
          <t>🌟 Nuovo Arrivo TOP</t>
        </is>
      </c>
      <c r="L76" s="2" t="n">
        <v>20.8</v>
      </c>
      <c r="M76" s="2" t="n">
        <v>1.09</v>
      </c>
    </row>
    <row r="77">
      <c r="A77" s="2" t="inlineStr">
        <is>
          <t>N'Dicka</t>
        </is>
      </c>
      <c r="B77" s="2" t="inlineStr">
        <is>
          <t>Roma</t>
        </is>
      </c>
      <c r="C77" s="2" t="inlineStr">
        <is>
          <t>D</t>
        </is>
      </c>
      <c r="D77" s="2" t="inlineStr">
        <is>
          <t>Dc</t>
        </is>
      </c>
      <c r="E77" s="2" t="n">
        <v>13</v>
      </c>
      <c r="F77" s="2" t="n">
        <v>14.45</v>
      </c>
      <c r="G77" s="2" t="n">
        <v>11.75</v>
      </c>
      <c r="H77" s="8" t="inlineStr">
        <is>
          <t>Normale</t>
        </is>
      </c>
      <c r="I77" s="2">
        <f>MAX(1,TRUNC(L77*(Impostazioni!$B$2/500)*1*M77*INDEX(Impostazioni!$E$23:$E$29,MATCH(H77,Impostazioni!$D$23:$D$29,0))))</f>
        <v/>
      </c>
      <c r="J77" s="9">
        <f>MAX(1,TRUNC(L77*(Impostazioni!$B$2/500)*INDEX(Motore!$A$5:$H$8,MATCH(C77,Motore!$A$5:$A$8,0),8)*M77*INDEX(Impostazioni!$E$23:$E$29,MATCH(H77,Impostazioni!$D$23:$D$29,0))))</f>
        <v/>
      </c>
      <c r="K77" s="2" t="inlineStr">
        <is>
          <t>🌟 Nuovo Arrivo TOP</t>
        </is>
      </c>
      <c r="L77" s="2" t="n">
        <v>20.8</v>
      </c>
      <c r="M77" s="2" t="n">
        <v>1.16</v>
      </c>
    </row>
    <row r="78">
      <c r="A78" s="2" t="inlineStr">
        <is>
          <t>Solet</t>
        </is>
      </c>
      <c r="B78" s="2" t="inlineStr">
        <is>
          <t>Udinese</t>
        </is>
      </c>
      <c r="C78" s="2" t="inlineStr">
        <is>
          <t>D</t>
        </is>
      </c>
      <c r="D78" s="2" t="inlineStr">
        <is>
          <t>Dc</t>
        </is>
      </c>
      <c r="E78" s="2" t="n">
        <v>13</v>
      </c>
      <c r="F78" s="2" t="n">
        <v>19.8</v>
      </c>
      <c r="G78" s="2" t="n">
        <v>17.05</v>
      </c>
      <c r="H78" s="8" t="inlineStr">
        <is>
          <t>Normale</t>
        </is>
      </c>
      <c r="I78" s="2">
        <f>MAX(1,TRUNC(L78*(Impostazioni!$B$2/500)*1*M78*INDEX(Impostazioni!$E$23:$E$29,MATCH(H78,Impostazioni!$D$23:$D$29,0))))</f>
        <v/>
      </c>
      <c r="J78" s="9">
        <f>MAX(1,TRUNC(L78*(Impostazioni!$B$2/500)*INDEX(Motore!$A$5:$H$8,MATCH(C78,Motore!$A$5:$A$8,0),8)*M78*INDEX(Impostazioni!$E$23:$E$29,MATCH(H78,Impostazioni!$D$23:$D$29,0))))</f>
        <v/>
      </c>
      <c r="K78" s="2" t="inlineStr">
        <is>
          <t>🌟 Nuovo Arrivo TOP</t>
        </is>
      </c>
      <c r="L78" s="2" t="n">
        <v>20.8</v>
      </c>
      <c r="M78" s="2" t="n">
        <v>1</v>
      </c>
    </row>
    <row r="79">
      <c r="A79" s="2" t="inlineStr">
        <is>
          <t>Bisseck</t>
        </is>
      </c>
      <c r="B79" s="2" t="inlineStr">
        <is>
          <t>Inter</t>
        </is>
      </c>
      <c r="C79" s="2" t="inlineStr">
        <is>
          <t>D</t>
        </is>
      </c>
      <c r="D79" s="2" t="inlineStr">
        <is>
          <t>Dc</t>
        </is>
      </c>
      <c r="E79" s="2" t="n">
        <v>12</v>
      </c>
      <c r="F79" s="2" t="n">
        <v>15.65</v>
      </c>
      <c r="G79" s="2" t="n">
        <v>14.35</v>
      </c>
      <c r="H79" s="8" t="inlineStr">
        <is>
          <t>Normale</t>
        </is>
      </c>
      <c r="I79" s="2">
        <f>MAX(1,TRUNC(L79*(Impostazioni!$B$2/500)*1*M79*INDEX(Impostazioni!$E$23:$E$29,MATCH(H79,Impostazioni!$D$23:$D$29,0))))</f>
        <v/>
      </c>
      <c r="J79" s="9">
        <f>MAX(1,TRUNC(L79*(Impostazioni!$B$2/500)*INDEX(Motore!$A$5:$H$8,MATCH(C79,Motore!$A$5:$A$8,0),8)*M79*INDEX(Impostazioni!$E$23:$E$29,MATCH(H79,Impostazioni!$D$23:$D$29,0))))</f>
        <v/>
      </c>
      <c r="K79" s="2" t="inlineStr">
        <is>
          <t>🌟 Nuovo Arrivo TOP</t>
        </is>
      </c>
      <c r="L79" s="2" t="n">
        <v>19.2</v>
      </c>
      <c r="M79" s="2" t="n">
        <v>1.18</v>
      </c>
    </row>
    <row r="80">
      <c r="A80" s="2" t="inlineStr">
        <is>
          <t>Di Lorenzo</t>
        </is>
      </c>
      <c r="B80" s="2" t="inlineStr">
        <is>
          <t>Napoli</t>
        </is>
      </c>
      <c r="C80" s="2" t="inlineStr">
        <is>
          <t>D</t>
        </is>
      </c>
      <c r="D80" s="2" t="inlineStr">
        <is>
          <t>Dd/E</t>
        </is>
      </c>
      <c r="E80" s="2" t="n">
        <v>12</v>
      </c>
      <c r="F80" s="2" t="n">
        <v>16</v>
      </c>
      <c r="G80" s="2" t="n">
        <v>18.95</v>
      </c>
      <c r="H80" s="8" t="inlineStr">
        <is>
          <t>Normale</t>
        </is>
      </c>
      <c r="I80" s="2">
        <f>MAX(1,TRUNC(L80*(Impostazioni!$B$2/500)*1*M80*INDEX(Impostazioni!$E$23:$E$29,MATCH(H80,Impostazioni!$D$23:$D$29,0))))</f>
        <v/>
      </c>
      <c r="J80" s="9">
        <f>MAX(1,TRUNC(L80*(Impostazioni!$B$2/500)*INDEX(Motore!$A$5:$H$8,MATCH(C80,Motore!$A$5:$A$8,0),8)*M80*INDEX(Impostazioni!$E$23:$E$29,MATCH(H80,Impostazioni!$D$23:$D$29,0))))</f>
        <v/>
      </c>
      <c r="K80" s="2" t="inlineStr">
        <is>
          <t>🌟 Nuovo Arrivo TOP</t>
        </is>
      </c>
      <c r="L80" s="2" t="n">
        <v>19.2</v>
      </c>
      <c r="M80" s="2" t="n">
        <v>1.11</v>
      </c>
    </row>
    <row r="81">
      <c r="A81" s="2" t="inlineStr">
        <is>
          <t>Stones</t>
        </is>
      </c>
      <c r="B81" s="2" t="inlineStr">
        <is>
          <t>Inter</t>
        </is>
      </c>
      <c r="C81" s="2" t="inlineStr">
        <is>
          <t>D</t>
        </is>
      </c>
      <c r="D81" s="2" t="inlineStr">
        <is>
          <t>Dc</t>
        </is>
      </c>
      <c r="E81" s="2" t="n">
        <v>12</v>
      </c>
      <c r="F81" s="2" t="n">
        <v>9.449999999999999</v>
      </c>
      <c r="G81" s="2" t="n">
        <v>4.55</v>
      </c>
      <c r="H81" s="8" t="inlineStr">
        <is>
          <t>🟡 Ballottaggio</t>
        </is>
      </c>
      <c r="I81" s="2">
        <f>MAX(1,TRUNC(L81*(Impostazioni!$B$2/500)*1*M81*INDEX(Impostazioni!$E$23:$E$29,MATCH(H81,Impostazioni!$D$23:$D$29,0))))</f>
        <v/>
      </c>
      <c r="J81" s="9">
        <f>MAX(1,TRUNC(L81*(Impostazioni!$B$2/500)*INDEX(Motore!$A$5:$H$8,MATCH(C81,Motore!$A$5:$A$8,0),8)*M81*INDEX(Impostazioni!$E$23:$E$29,MATCH(H81,Impostazioni!$D$23:$D$29,0))))</f>
        <v/>
      </c>
      <c r="K81" s="2" t="inlineStr">
        <is>
          <t>🌟 Nuovo Arrivo TOP</t>
        </is>
      </c>
      <c r="L81" s="2" t="n">
        <v>19.2</v>
      </c>
      <c r="M81" s="2" t="n">
        <v>1.18</v>
      </c>
    </row>
    <row r="82">
      <c r="A82" s="2" t="inlineStr">
        <is>
          <t>Hermoso</t>
        </is>
      </c>
      <c r="B82" s="2" t="inlineStr">
        <is>
          <t>Roma</t>
        </is>
      </c>
      <c r="C82" s="2" t="inlineStr">
        <is>
          <t>D</t>
        </is>
      </c>
      <c r="D82" s="2" t="inlineStr">
        <is>
          <t>Dc</t>
        </is>
      </c>
      <c r="E82" s="2" t="n">
        <v>11</v>
      </c>
      <c r="F82" s="2" t="n">
        <v>9.9</v>
      </c>
      <c r="G82" s="2" t="n">
        <v>3.15</v>
      </c>
      <c r="H82" s="8" t="inlineStr">
        <is>
          <t>Normale</t>
        </is>
      </c>
      <c r="I82" s="2">
        <f>MAX(1,TRUNC(L82*(Impostazioni!$B$2/500)*1*M82*INDEX(Impostazioni!$E$23:$E$29,MATCH(H82,Impostazioni!$D$23:$D$29,0))))</f>
        <v/>
      </c>
      <c r="J82" s="9">
        <f>MAX(1,TRUNC(L82*(Impostazioni!$B$2/500)*INDEX(Motore!$A$5:$H$8,MATCH(C82,Motore!$A$5:$A$8,0),8)*M82*INDEX(Impostazioni!$E$23:$E$29,MATCH(H82,Impostazioni!$D$23:$D$29,0))))</f>
        <v/>
      </c>
      <c r="K82" s="2" t="inlineStr">
        <is>
          <t>Nuovo Arrivo (Rotazione)</t>
        </is>
      </c>
      <c r="L82" s="2" t="n">
        <v>11</v>
      </c>
      <c r="M82" s="2" t="n">
        <v>1.16</v>
      </c>
    </row>
    <row r="83">
      <c r="A83" s="2" t="inlineStr">
        <is>
          <t>Ostigard</t>
        </is>
      </c>
      <c r="B83" s="2" t="inlineStr">
        <is>
          <t>Genoa</t>
        </is>
      </c>
      <c r="C83" s="2" t="inlineStr">
        <is>
          <t>D</t>
        </is>
      </c>
      <c r="D83" s="2" t="inlineStr">
        <is>
          <t>Dc</t>
        </is>
      </c>
      <c r="E83" s="2" t="n">
        <v>11</v>
      </c>
      <c r="F83" s="2" t="n">
        <v>11.9</v>
      </c>
      <c r="G83" s="2" t="n">
        <v>9.35</v>
      </c>
      <c r="H83" s="8" t="inlineStr">
        <is>
          <t>Normale</t>
        </is>
      </c>
      <c r="I83" s="2">
        <f>MAX(1,TRUNC(L83*(Impostazioni!$B$2/500)*1*M83*INDEX(Impostazioni!$E$23:$E$29,MATCH(H83,Impostazioni!$D$23:$D$29,0))))</f>
        <v/>
      </c>
      <c r="J83" s="9">
        <f>MAX(1,TRUNC(L83*(Impostazioni!$B$2/500)*INDEX(Motore!$A$5:$H$8,MATCH(C83,Motore!$A$5:$A$8,0),8)*M83*INDEX(Impostazioni!$E$23:$E$29,MATCH(H83,Impostazioni!$D$23:$D$29,0))))</f>
        <v/>
      </c>
      <c r="K83" s="2" t="inlineStr">
        <is>
          <t>Nuovo Arrivo (Rotazione)</t>
        </is>
      </c>
      <c r="L83" s="2" t="n">
        <v>11</v>
      </c>
      <c r="M83" s="2" t="n">
        <v>1</v>
      </c>
    </row>
    <row r="84">
      <c r="A84" s="2" t="inlineStr">
        <is>
          <t>Spence</t>
        </is>
      </c>
      <c r="B84" s="2" t="inlineStr">
        <is>
          <t>Inter</t>
        </is>
      </c>
      <c r="C84" s="2" t="inlineStr">
        <is>
          <t>D</t>
        </is>
      </c>
      <c r="D84" s="2" t="inlineStr">
        <is>
          <t>E</t>
        </is>
      </c>
      <c r="E84" s="2" t="n">
        <v>11</v>
      </c>
      <c r="F84" s="2" t="n">
        <v>12.15</v>
      </c>
      <c r="G84" s="2" t="n">
        <v>17.05</v>
      </c>
      <c r="H84" s="8" t="inlineStr">
        <is>
          <t>🟡 Ballottaggio</t>
        </is>
      </c>
      <c r="I84" s="2">
        <f>MAX(1,TRUNC(L84*(Impostazioni!$B$2/500)*1*M84*INDEX(Impostazioni!$E$23:$E$29,MATCH(H84,Impostazioni!$D$23:$D$29,0))))</f>
        <v/>
      </c>
      <c r="J84" s="9">
        <f>MAX(1,TRUNC(L84*(Impostazioni!$B$2/500)*INDEX(Motore!$A$5:$H$8,MATCH(C84,Motore!$A$5:$A$8,0),8)*M84*INDEX(Impostazioni!$E$23:$E$29,MATCH(H84,Impostazioni!$D$23:$D$29,0))))</f>
        <v/>
      </c>
      <c r="K84" s="2" t="inlineStr">
        <is>
          <t>Nuovo Arrivo (Rotazione)</t>
        </is>
      </c>
      <c r="L84" s="2" t="n">
        <v>11</v>
      </c>
      <c r="M84" s="2" t="n">
        <v>1.18</v>
      </c>
    </row>
    <row r="85">
      <c r="A85" s="2" t="inlineStr">
        <is>
          <t>Chalobah T.</t>
        </is>
      </c>
      <c r="B85" s="2" t="inlineStr">
        <is>
          <t>Como</t>
        </is>
      </c>
      <c r="C85" s="2" t="inlineStr">
        <is>
          <t>D</t>
        </is>
      </c>
      <c r="D85" s="2" t="inlineStr">
        <is>
          <t>Dd/Dc</t>
        </is>
      </c>
      <c r="E85" s="2" t="n">
        <v>10</v>
      </c>
      <c r="F85" s="2" t="n">
        <v>18.15</v>
      </c>
      <c r="G85" s="2" t="n">
        <v>13.55</v>
      </c>
      <c r="H85" s="8" t="inlineStr">
        <is>
          <t>Normale</t>
        </is>
      </c>
      <c r="I85" s="2">
        <f>MAX(1,TRUNC(L85*(Impostazioni!$B$2/500)*1*M85*INDEX(Impostazioni!$E$23:$E$29,MATCH(H85,Impostazioni!$D$23:$D$29,0))))</f>
        <v/>
      </c>
      <c r="J85" s="9">
        <f>MAX(1,TRUNC(L85*(Impostazioni!$B$2/500)*INDEX(Motore!$A$5:$H$8,MATCH(C85,Motore!$A$5:$A$8,0),8)*M85*INDEX(Impostazioni!$E$23:$E$29,MATCH(H85,Impostazioni!$D$23:$D$29,0))))</f>
        <v/>
      </c>
      <c r="K85" s="2" t="inlineStr">
        <is>
          <t>Nuovo Arrivo (Rotazione)</t>
        </is>
      </c>
      <c r="L85" s="2" t="n">
        <v>10</v>
      </c>
      <c r="M85" s="2" t="n">
        <v>1.19</v>
      </c>
    </row>
    <row r="86">
      <c r="A86" s="2" t="inlineStr">
        <is>
          <t>Ramon</t>
        </is>
      </c>
      <c r="B86" s="2" t="inlineStr">
        <is>
          <t>Como</t>
        </is>
      </c>
      <c r="C86" s="2" t="inlineStr">
        <is>
          <t>D</t>
        </is>
      </c>
      <c r="D86" s="2" t="inlineStr">
        <is>
          <t>Dc</t>
        </is>
      </c>
      <c r="E86" s="2" t="n">
        <v>10</v>
      </c>
      <c r="F86" s="2" t="n">
        <v>15</v>
      </c>
      <c r="G86" s="2" t="n">
        <v>8.300000000000001</v>
      </c>
      <c r="H86" s="8" t="inlineStr">
        <is>
          <t>Normale</t>
        </is>
      </c>
      <c r="I86" s="2">
        <f>MAX(1,TRUNC(L86*(Impostazioni!$B$2/500)*1*M86*INDEX(Impostazioni!$E$23:$E$29,MATCH(H86,Impostazioni!$D$23:$D$29,0))))</f>
        <v/>
      </c>
      <c r="J86" s="9">
        <f>MAX(1,TRUNC(L86*(Impostazioni!$B$2/500)*INDEX(Motore!$A$5:$H$8,MATCH(C86,Motore!$A$5:$A$8,0),8)*M86*INDEX(Impostazioni!$E$23:$E$29,MATCH(H86,Impostazioni!$D$23:$D$29,0))))</f>
        <v/>
      </c>
      <c r="K86" s="2" t="inlineStr">
        <is>
          <t>Nuovo Arrivo (Rotazione)</t>
        </is>
      </c>
      <c r="L86" s="2" t="n">
        <v>10</v>
      </c>
      <c r="M86" s="2" t="n">
        <v>1.19</v>
      </c>
    </row>
    <row r="87">
      <c r="A87" s="2" t="inlineStr">
        <is>
          <t>Scalvini</t>
        </is>
      </c>
      <c r="B87" s="2" t="inlineStr">
        <is>
          <t>Atalanta</t>
        </is>
      </c>
      <c r="C87" s="2" t="inlineStr">
        <is>
          <t>D</t>
        </is>
      </c>
      <c r="D87" s="2" t="inlineStr">
        <is>
          <t>Dc</t>
        </is>
      </c>
      <c r="E87" s="2" t="n">
        <v>10</v>
      </c>
      <c r="F87" s="2" t="n">
        <v>9.550000000000001</v>
      </c>
      <c r="G87" s="2" t="n">
        <v>7</v>
      </c>
      <c r="H87" s="8" t="inlineStr">
        <is>
          <t>Normale</t>
        </is>
      </c>
      <c r="I87" s="2">
        <f>MAX(1,TRUNC(L87*(Impostazioni!$B$2/500)*1*M87*INDEX(Impostazioni!$E$23:$E$29,MATCH(H87,Impostazioni!$D$23:$D$29,0))))</f>
        <v/>
      </c>
      <c r="J87" s="9">
        <f>MAX(1,TRUNC(L87*(Impostazioni!$B$2/500)*INDEX(Motore!$A$5:$H$8,MATCH(C87,Motore!$A$5:$A$8,0),8)*M87*INDEX(Impostazioni!$E$23:$E$29,MATCH(H87,Impostazioni!$D$23:$D$29,0))))</f>
        <v/>
      </c>
      <c r="K87" s="2" t="inlineStr">
        <is>
          <t>Nuovo Arrivo (Rotazione)</t>
        </is>
      </c>
      <c r="L87" s="2" t="n">
        <v>10</v>
      </c>
      <c r="M87" s="2" t="n">
        <v>1.05</v>
      </c>
    </row>
    <row r="88">
      <c r="A88" s="2" t="inlineStr">
        <is>
          <t>Dodò</t>
        </is>
      </c>
      <c r="B88" s="2" t="inlineStr">
        <is>
          <t>Fiorentina</t>
        </is>
      </c>
      <c r="C88" s="2" t="inlineStr">
        <is>
          <t>D</t>
        </is>
      </c>
      <c r="D88" s="2" t="inlineStr">
        <is>
          <t>Dd/E</t>
        </is>
      </c>
      <c r="E88" s="2" t="n">
        <v>9</v>
      </c>
      <c r="F88" s="2" t="n">
        <v>2.05</v>
      </c>
      <c r="G88" s="2" t="n">
        <v>0.5</v>
      </c>
      <c r="H88" s="8" t="inlineStr">
        <is>
          <t>🪑 Riserva Fissa (da fasciaFc)</t>
        </is>
      </c>
      <c r="I88" s="2">
        <f>MAX(1,TRUNC(L88*(Impostazioni!$B$2/500)*1*M88*INDEX(Impostazioni!$E$23:$E$29,MATCH(H88,Impostazioni!$D$23:$D$29,0))))</f>
        <v/>
      </c>
      <c r="J88" s="9">
        <f>MAX(1,TRUNC(L88*(Impostazioni!$B$2/500)*INDEX(Motore!$A$5:$H$8,MATCH(C88,Motore!$A$5:$A$8,0),8)*M88*INDEX(Impostazioni!$E$23:$E$29,MATCH(H88,Impostazioni!$D$23:$D$29,0))))</f>
        <v/>
      </c>
      <c r="K88" s="2" t="inlineStr">
        <is>
          <t>Nuovo Arrivo (Rotazione)</t>
        </is>
      </c>
      <c r="L88" s="2" t="n">
        <v>9</v>
      </c>
      <c r="M88" s="2" t="n">
        <v>1</v>
      </c>
    </row>
    <row r="89">
      <c r="A89" s="2" t="inlineStr">
        <is>
          <t>Kamara H.</t>
        </is>
      </c>
      <c r="B89" s="2" t="inlineStr">
        <is>
          <t>Udinese</t>
        </is>
      </c>
      <c r="C89" s="2" t="inlineStr">
        <is>
          <t>D</t>
        </is>
      </c>
      <c r="D89" s="2" t="inlineStr">
        <is>
          <t>Ds/E</t>
        </is>
      </c>
      <c r="E89" s="2" t="n">
        <v>9</v>
      </c>
      <c r="F89" s="2" t="n">
        <v>5.85</v>
      </c>
      <c r="G89" s="2" t="n">
        <v>0.5</v>
      </c>
      <c r="H89" s="8" t="inlineStr">
        <is>
          <t>Normale</t>
        </is>
      </c>
      <c r="I89" s="2">
        <f>MAX(1,TRUNC(L89*(Impostazioni!$B$2/500)*1*M89*INDEX(Impostazioni!$E$23:$E$29,MATCH(H89,Impostazioni!$D$23:$D$29,0))))</f>
        <v/>
      </c>
      <c r="J89" s="9">
        <f>MAX(1,TRUNC(L89*(Impostazioni!$B$2/500)*INDEX(Motore!$A$5:$H$8,MATCH(C89,Motore!$A$5:$A$8,0),8)*M89*INDEX(Impostazioni!$E$23:$E$29,MATCH(H89,Impostazioni!$D$23:$D$29,0))))</f>
        <v/>
      </c>
      <c r="K89" s="2" t="inlineStr">
        <is>
          <t>Nuovo Arrivo (Rotazione)</t>
        </is>
      </c>
      <c r="L89" s="2" t="n">
        <v>9</v>
      </c>
      <c r="M89" s="2" t="n">
        <v>1</v>
      </c>
    </row>
    <row r="90">
      <c r="A90" s="2" t="inlineStr">
        <is>
          <t>Vasquez</t>
        </is>
      </c>
      <c r="B90" s="2" t="inlineStr">
        <is>
          <t>Genoa</t>
        </is>
      </c>
      <c r="C90" s="2" t="inlineStr">
        <is>
          <t>D</t>
        </is>
      </c>
      <c r="D90" s="2" t="inlineStr">
        <is>
          <t>Ds/Dc</t>
        </is>
      </c>
      <c r="E90" s="2" t="n">
        <v>9</v>
      </c>
      <c r="F90" s="2" t="n">
        <v>8.35</v>
      </c>
      <c r="G90" s="2" t="n">
        <v>4.2</v>
      </c>
      <c r="H90" s="8" t="inlineStr">
        <is>
          <t>Normale</t>
        </is>
      </c>
      <c r="I90" s="2">
        <f>MAX(1,TRUNC(L90*(Impostazioni!$B$2/500)*1*M90*INDEX(Impostazioni!$E$23:$E$29,MATCH(H90,Impostazioni!$D$23:$D$29,0))))</f>
        <v/>
      </c>
      <c r="J90" s="9">
        <f>MAX(1,TRUNC(L90*(Impostazioni!$B$2/500)*INDEX(Motore!$A$5:$H$8,MATCH(C90,Motore!$A$5:$A$8,0),8)*M90*INDEX(Impostazioni!$E$23:$E$29,MATCH(H90,Impostazioni!$D$23:$D$29,0))))</f>
        <v/>
      </c>
      <c r="K90" s="2" t="inlineStr">
        <is>
          <t>Nuovo Arrivo (Rotazione)</t>
        </is>
      </c>
      <c r="L90" s="2" t="n">
        <v>9</v>
      </c>
      <c r="M90" s="2" t="n">
        <v>1</v>
      </c>
    </row>
    <row r="91">
      <c r="A91" s="2" t="inlineStr">
        <is>
          <t>Vojvoda</t>
        </is>
      </c>
      <c r="B91" s="2" t="inlineStr">
        <is>
          <t>Udinese</t>
        </is>
      </c>
      <c r="C91" s="2" t="inlineStr">
        <is>
          <t>D</t>
        </is>
      </c>
      <c r="D91" s="2" t="inlineStr">
        <is>
          <t>Dd/E</t>
        </is>
      </c>
      <c r="E91" s="2" t="n">
        <v>9</v>
      </c>
      <c r="F91" s="2" t="n">
        <v>8.35</v>
      </c>
      <c r="G91" s="2" t="n">
        <v>6.35</v>
      </c>
      <c r="H91" s="8" t="inlineStr">
        <is>
          <t>Normale</t>
        </is>
      </c>
      <c r="I91" s="2">
        <f>MAX(1,TRUNC(L91*(Impostazioni!$B$2/500)*1*M91*INDEX(Impostazioni!$E$23:$E$29,MATCH(H91,Impostazioni!$D$23:$D$29,0))))</f>
        <v/>
      </c>
      <c r="J91" s="9">
        <f>MAX(1,TRUNC(L91*(Impostazioni!$B$2/500)*INDEX(Motore!$A$5:$H$8,MATCH(C91,Motore!$A$5:$A$8,0),8)*M91*INDEX(Impostazioni!$E$23:$E$29,MATCH(H91,Impostazioni!$D$23:$D$29,0))))</f>
        <v/>
      </c>
      <c r="K91" s="2" t="inlineStr">
        <is>
          <t>Nuovo Arrivo (Rotazione)</t>
        </is>
      </c>
      <c r="L91" s="2" t="n">
        <v>9</v>
      </c>
      <c r="M91" s="2" t="n">
        <v>1</v>
      </c>
    </row>
    <row r="92">
      <c r="A92" s="2" t="inlineStr">
        <is>
          <t>Bartesaghi</t>
        </is>
      </c>
      <c r="B92" s="2" t="inlineStr">
        <is>
          <t>Milan</t>
        </is>
      </c>
      <c r="C92" s="2" t="inlineStr">
        <is>
          <t>D</t>
        </is>
      </c>
      <c r="D92" s="2" t="inlineStr">
        <is>
          <t>Ds/E</t>
        </is>
      </c>
      <c r="E92" s="2" t="n">
        <v>8</v>
      </c>
      <c r="F92" s="2" t="n">
        <v>4.45</v>
      </c>
      <c r="G92" s="2" t="n">
        <v>6.4</v>
      </c>
      <c r="H92" s="8" t="inlineStr">
        <is>
          <t>🟡 Ballottaggio</t>
        </is>
      </c>
      <c r="I92" s="2">
        <f>MAX(1,TRUNC(L92*(Impostazioni!$B$2/500)*1*M92*INDEX(Impostazioni!$E$23:$E$29,MATCH(H92,Impostazioni!$D$23:$D$29,0))))</f>
        <v/>
      </c>
      <c r="J92" s="9">
        <f>MAX(1,TRUNC(L92*(Impostazioni!$B$2/500)*INDEX(Motore!$A$5:$H$8,MATCH(C92,Motore!$A$5:$A$8,0),8)*M92*INDEX(Impostazioni!$E$23:$E$29,MATCH(H92,Impostazioni!$D$23:$D$29,0))))</f>
        <v/>
      </c>
      <c r="K92" s="2" t="inlineStr">
        <is>
          <t>Nuovo Arrivo (Rotazione)</t>
        </is>
      </c>
      <c r="L92" s="2" t="n">
        <v>8</v>
      </c>
      <c r="M92" s="2" t="n">
        <v>1.09</v>
      </c>
    </row>
    <row r="93">
      <c r="A93" s="2" t="inlineStr">
        <is>
          <t>Cambiaso</t>
        </is>
      </c>
      <c r="B93" s="2" t="inlineStr">
        <is>
          <t>Juventus</t>
        </is>
      </c>
      <c r="C93" s="2" t="inlineStr">
        <is>
          <t>D</t>
        </is>
      </c>
      <c r="D93" s="2" t="inlineStr">
        <is>
          <t>Dd/Ds/E</t>
        </is>
      </c>
      <c r="E93" s="2" t="n">
        <v>8</v>
      </c>
      <c r="F93" s="2" t="n">
        <v>5.75</v>
      </c>
      <c r="G93" s="2" t="n">
        <v>10.65</v>
      </c>
      <c r="H93" s="8" t="inlineStr">
        <is>
          <t>🟡 Ballottaggio</t>
        </is>
      </c>
      <c r="I93" s="2">
        <f>MAX(1,TRUNC(L93*(Impostazioni!$B$2/500)*1*M93*INDEX(Impostazioni!$E$23:$E$29,MATCH(H93,Impostazioni!$D$23:$D$29,0))))</f>
        <v/>
      </c>
      <c r="J93" s="9">
        <f>MAX(1,TRUNC(L93*(Impostazioni!$B$2/500)*INDEX(Motore!$A$5:$H$8,MATCH(C93,Motore!$A$5:$A$8,0),8)*M93*INDEX(Impostazioni!$E$23:$E$29,MATCH(H93,Impostazioni!$D$23:$D$29,0))))</f>
        <v/>
      </c>
      <c r="K93" s="2" t="inlineStr">
        <is>
          <t>Nuovo Arrivo (Rotazione)</t>
        </is>
      </c>
      <c r="L93" s="2" t="n">
        <v>8</v>
      </c>
      <c r="M93" s="2" t="n">
        <v>1.12</v>
      </c>
    </row>
    <row r="94">
      <c r="A94" s="2" t="inlineStr">
        <is>
          <t>Celik</t>
        </is>
      </c>
      <c r="B94" s="2" t="inlineStr">
        <is>
          <t>Juventus</t>
        </is>
      </c>
      <c r="C94" s="2" t="inlineStr">
        <is>
          <t>D</t>
        </is>
      </c>
      <c r="D94" s="2" t="inlineStr">
        <is>
          <t>B/Dd/E</t>
        </is>
      </c>
      <c r="E94" s="2" t="n">
        <v>8</v>
      </c>
      <c r="F94" s="2" t="n">
        <v>10.3</v>
      </c>
      <c r="G94" s="2" t="n">
        <v>5.75</v>
      </c>
      <c r="H94" s="8" t="inlineStr">
        <is>
          <t>🟡 Ballottaggio</t>
        </is>
      </c>
      <c r="I94" s="2">
        <f>MAX(1,TRUNC(L94*(Impostazioni!$B$2/500)*1*M94*INDEX(Impostazioni!$E$23:$E$29,MATCH(H94,Impostazioni!$D$23:$D$29,0))))</f>
        <v/>
      </c>
      <c r="J94" s="9">
        <f>MAX(1,TRUNC(L94*(Impostazioni!$B$2/500)*INDEX(Motore!$A$5:$H$8,MATCH(C94,Motore!$A$5:$A$8,0),8)*M94*INDEX(Impostazioni!$E$23:$E$29,MATCH(H94,Impostazioni!$D$23:$D$29,0))))</f>
        <v/>
      </c>
      <c r="K94" s="2" t="inlineStr">
        <is>
          <t>Nuovo Arrivo (Rotazione)</t>
        </is>
      </c>
      <c r="L94" s="2" t="n">
        <v>8</v>
      </c>
      <c r="M94" s="2" t="n">
        <v>1.12</v>
      </c>
    </row>
    <row r="95">
      <c r="A95" s="2" t="inlineStr">
        <is>
          <t>Comuzzo</t>
        </is>
      </c>
      <c r="B95" s="2" t="inlineStr">
        <is>
          <t>Torino</t>
        </is>
      </c>
      <c r="C95" s="2" t="inlineStr">
        <is>
          <t>D</t>
        </is>
      </c>
      <c r="D95" s="2" t="inlineStr">
        <is>
          <t>Dc</t>
        </is>
      </c>
      <c r="E95" s="2" t="n">
        <v>8</v>
      </c>
      <c r="F95" s="2" t="n">
        <v>3.55</v>
      </c>
      <c r="G95" s="2" t="n">
        <v>2.65</v>
      </c>
      <c r="H95" s="8" t="inlineStr">
        <is>
          <t>Normale</t>
        </is>
      </c>
      <c r="I95" s="2">
        <f>MAX(1,TRUNC(L95*(Impostazioni!$B$2/500)*1*M95*INDEX(Impostazioni!$E$23:$E$29,MATCH(H95,Impostazioni!$D$23:$D$29,0))))</f>
        <v/>
      </c>
      <c r="J95" s="9">
        <f>MAX(1,TRUNC(L95*(Impostazioni!$B$2/500)*INDEX(Motore!$A$5:$H$8,MATCH(C95,Motore!$A$5:$A$8,0),8)*M95*INDEX(Impostazioni!$E$23:$E$29,MATCH(H95,Impostazioni!$D$23:$D$29,0))))</f>
        <v/>
      </c>
      <c r="K95" s="2" t="inlineStr">
        <is>
          <t>Nuovo Arrivo (Rotazione)</t>
        </is>
      </c>
      <c r="L95" s="2" t="n">
        <v>8</v>
      </c>
      <c r="M95" s="2" t="n">
        <v>1</v>
      </c>
    </row>
    <row r="96">
      <c r="A96" s="2" t="inlineStr">
        <is>
          <t>Couto</t>
        </is>
      </c>
      <c r="B96" s="2" t="inlineStr">
        <is>
          <t>Como</t>
        </is>
      </c>
      <c r="C96" s="2" t="inlineStr">
        <is>
          <t>D</t>
        </is>
      </c>
      <c r="D96" s="2" t="inlineStr">
        <is>
          <t>Dd/E</t>
        </is>
      </c>
      <c r="E96" s="2" t="n">
        <v>8</v>
      </c>
      <c r="F96" s="2" t="n">
        <v>9.550000000000001</v>
      </c>
      <c r="G96" s="2" t="n">
        <v>6.9</v>
      </c>
      <c r="H96" s="8" t="inlineStr">
        <is>
          <t>Normale</t>
        </is>
      </c>
      <c r="I96" s="2">
        <f>MAX(1,TRUNC(L96*(Impostazioni!$B$2/500)*1*M96*INDEX(Impostazioni!$E$23:$E$29,MATCH(H96,Impostazioni!$D$23:$D$29,0))))</f>
        <v/>
      </c>
      <c r="J96" s="9">
        <f>MAX(1,TRUNC(L96*(Impostazioni!$B$2/500)*INDEX(Motore!$A$5:$H$8,MATCH(C96,Motore!$A$5:$A$8,0),8)*M96*INDEX(Impostazioni!$E$23:$E$29,MATCH(H96,Impostazioni!$D$23:$D$29,0))))</f>
        <v/>
      </c>
      <c r="K96" s="2" t="inlineStr">
        <is>
          <t>Nuovo Arrivo (Rotazione)</t>
        </is>
      </c>
      <c r="L96" s="2" t="n">
        <v>8</v>
      </c>
      <c r="M96" s="2" t="n">
        <v>1.19</v>
      </c>
    </row>
    <row r="97">
      <c r="A97" s="2" t="inlineStr">
        <is>
          <t>Delprato</t>
        </is>
      </c>
      <c r="B97" s="2" t="inlineStr">
        <is>
          <t>Parma</t>
        </is>
      </c>
      <c r="C97" s="2" t="inlineStr">
        <is>
          <t>D</t>
        </is>
      </c>
      <c r="D97" s="2" t="inlineStr">
        <is>
          <t>B/Dd/E</t>
        </is>
      </c>
      <c r="E97" s="2" t="n">
        <v>8</v>
      </c>
      <c r="F97" s="2" t="n">
        <v>7.25</v>
      </c>
      <c r="G97" s="2" t="n">
        <v>2.05</v>
      </c>
      <c r="H97" s="8" t="inlineStr">
        <is>
          <t>Normale</t>
        </is>
      </c>
      <c r="I97" s="2">
        <f>MAX(1,TRUNC(L97*(Impostazioni!$B$2/500)*1*M97*INDEX(Impostazioni!$E$23:$E$29,MATCH(H97,Impostazioni!$D$23:$D$29,0))))</f>
        <v/>
      </c>
      <c r="J97" s="9">
        <f>MAX(1,TRUNC(L97*(Impostazioni!$B$2/500)*INDEX(Motore!$A$5:$H$8,MATCH(C97,Motore!$A$5:$A$8,0),8)*M97*INDEX(Impostazioni!$E$23:$E$29,MATCH(H97,Impostazioni!$D$23:$D$29,0))))</f>
        <v/>
      </c>
      <c r="K97" s="2" t="inlineStr">
        <is>
          <t>Nuovo Arrivo (Rotazione)</t>
        </is>
      </c>
      <c r="L97" s="2" t="n">
        <v>8</v>
      </c>
      <c r="M97" s="2" t="n">
        <v>1</v>
      </c>
    </row>
    <row r="98">
      <c r="A98" s="2" t="inlineStr">
        <is>
          <t>Diego Carlos</t>
        </is>
      </c>
      <c r="B98" s="2" t="inlineStr">
        <is>
          <t>Parma</t>
        </is>
      </c>
      <c r="C98" s="2" t="inlineStr">
        <is>
          <t>D</t>
        </is>
      </c>
      <c r="D98" s="2" t="inlineStr">
        <is>
          <t>Dc</t>
        </is>
      </c>
      <c r="E98" s="2" t="n">
        <v>8</v>
      </c>
      <c r="F98" s="2" t="n">
        <v>2.25</v>
      </c>
      <c r="G98" s="2" t="n">
        <v>0.5</v>
      </c>
      <c r="H98" s="8" t="inlineStr">
        <is>
          <t>Normale</t>
        </is>
      </c>
      <c r="I98" s="2">
        <f>MAX(1,TRUNC(L98*(Impostazioni!$B$2/500)*1*M98*INDEX(Impostazioni!$E$23:$E$29,MATCH(H98,Impostazioni!$D$23:$D$29,0))))</f>
        <v/>
      </c>
      <c r="J98" s="9">
        <f>MAX(1,TRUNC(L98*(Impostazioni!$B$2/500)*INDEX(Motore!$A$5:$H$8,MATCH(C98,Motore!$A$5:$A$8,0),8)*M98*INDEX(Impostazioni!$E$23:$E$29,MATCH(H98,Impostazioni!$D$23:$D$29,0))))</f>
        <v/>
      </c>
      <c r="K98" s="2" t="inlineStr">
        <is>
          <t>Nuovo Arrivo (Rotazione)</t>
        </is>
      </c>
      <c r="L98" s="2" t="n">
        <v>8</v>
      </c>
      <c r="M98" s="2" t="n">
        <v>1</v>
      </c>
    </row>
    <row r="99">
      <c r="A99" s="2" t="inlineStr">
        <is>
          <t>Doekhi</t>
        </is>
      </c>
      <c r="B99" s="2" t="inlineStr">
        <is>
          <t>Lazio</t>
        </is>
      </c>
      <c r="C99" s="2" t="inlineStr">
        <is>
          <t>D</t>
        </is>
      </c>
      <c r="D99" s="2" t="inlineStr">
        <is>
          <t>Dc</t>
        </is>
      </c>
      <c r="E99" s="2" t="n">
        <v>8</v>
      </c>
      <c r="F99" s="2" t="n">
        <v>3.95</v>
      </c>
      <c r="G99" s="2" t="n">
        <v>3.45</v>
      </c>
      <c r="H99" s="8" t="inlineStr">
        <is>
          <t>Normale</t>
        </is>
      </c>
      <c r="I99" s="2">
        <f>MAX(1,TRUNC(L99*(Impostazioni!$B$2/500)*1*M99*INDEX(Impostazioni!$E$23:$E$29,MATCH(H99,Impostazioni!$D$23:$D$29,0))))</f>
        <v/>
      </c>
      <c r="J99" s="9">
        <f>MAX(1,TRUNC(L99*(Impostazioni!$B$2/500)*INDEX(Motore!$A$5:$H$8,MATCH(C99,Motore!$A$5:$A$8,0),8)*M99*INDEX(Impostazioni!$E$23:$E$29,MATCH(H99,Impostazioni!$D$23:$D$29,0))))</f>
        <v/>
      </c>
      <c r="K99" s="2" t="inlineStr">
        <is>
          <t>Nuovo Arrivo (Rotazione)</t>
        </is>
      </c>
      <c r="L99" s="2" t="n">
        <v>8</v>
      </c>
      <c r="M99" s="2" t="n">
        <v>1</v>
      </c>
    </row>
    <row r="100">
      <c r="A100" s="2" t="inlineStr">
        <is>
          <t>Koulierakis</t>
        </is>
      </c>
      <c r="B100" s="2" t="inlineStr">
        <is>
          <t>Roma</t>
        </is>
      </c>
      <c r="C100" s="2" t="inlineStr">
        <is>
          <t>D</t>
        </is>
      </c>
      <c r="D100" s="2" t="inlineStr">
        <is>
          <t>Dc</t>
        </is>
      </c>
      <c r="E100" s="2" t="n">
        <v>8</v>
      </c>
      <c r="F100" s="2" t="n">
        <v>2.25</v>
      </c>
      <c r="G100" s="2" t="n">
        <v>0.95</v>
      </c>
      <c r="H100" s="8" t="inlineStr">
        <is>
          <t>Normale</t>
        </is>
      </c>
      <c r="I100" s="2">
        <f>MAX(1,TRUNC(L100*(Impostazioni!$B$2/500)*1*M100*INDEX(Impostazioni!$E$23:$E$29,MATCH(H100,Impostazioni!$D$23:$D$29,0))))</f>
        <v/>
      </c>
      <c r="J100" s="9">
        <f>MAX(1,TRUNC(L100*(Impostazioni!$B$2/500)*INDEX(Motore!$A$5:$H$8,MATCH(C100,Motore!$A$5:$A$8,0),8)*M100*INDEX(Impostazioni!$E$23:$E$29,MATCH(H100,Impostazioni!$D$23:$D$29,0))))</f>
        <v/>
      </c>
      <c r="K100" s="2" t="inlineStr">
        <is>
          <t>Nuovo Arrivo (Rotazione)</t>
        </is>
      </c>
      <c r="L100" s="2" t="n">
        <v>8</v>
      </c>
      <c r="M100" s="2" t="n">
        <v>1.16</v>
      </c>
    </row>
    <row r="101">
      <c r="A101" s="2" t="inlineStr">
        <is>
          <t>Miranda J.</t>
        </is>
      </c>
      <c r="B101" s="2" t="inlineStr">
        <is>
          <t>Bologna</t>
        </is>
      </c>
      <c r="C101" s="2" t="inlineStr">
        <is>
          <t>D</t>
        </is>
      </c>
      <c r="D101" s="2" t="inlineStr">
        <is>
          <t>Ds/E</t>
        </is>
      </c>
      <c r="E101" s="2" t="n">
        <v>8</v>
      </c>
      <c r="F101" s="2" t="n">
        <v>4.75</v>
      </c>
      <c r="G101" s="2" t="n">
        <v>5.9</v>
      </c>
      <c r="H101" s="8" t="inlineStr">
        <is>
          <t>🟡 Ballottaggio</t>
        </is>
      </c>
      <c r="I101" s="2">
        <f>MAX(1,TRUNC(L101*(Impostazioni!$B$2/500)*1*M101*INDEX(Impostazioni!$E$23:$E$29,MATCH(H101,Impostazioni!$D$23:$D$29,0))))</f>
        <v/>
      </c>
      <c r="J101" s="9">
        <f>MAX(1,TRUNC(L101*(Impostazioni!$B$2/500)*INDEX(Motore!$A$5:$H$8,MATCH(C101,Motore!$A$5:$A$8,0),8)*M101*INDEX(Impostazioni!$E$23:$E$29,MATCH(H101,Impostazioni!$D$23:$D$29,0))))</f>
        <v/>
      </c>
      <c r="K101" s="2" t="inlineStr">
        <is>
          <t>Nuovo Arrivo (Rotazione)</t>
        </is>
      </c>
      <c r="L101" s="2" t="n">
        <v>8</v>
      </c>
      <c r="M101" s="2" t="n">
        <v>1.08</v>
      </c>
    </row>
    <row r="102">
      <c r="A102" s="2" t="inlineStr">
        <is>
          <t>Spinazzola</t>
        </is>
      </c>
      <c r="B102" s="2" t="inlineStr">
        <is>
          <t>Napoli</t>
        </is>
      </c>
      <c r="C102" s="2" t="inlineStr">
        <is>
          <t>D</t>
        </is>
      </c>
      <c r="D102" s="2" t="inlineStr">
        <is>
          <t>Ds/E</t>
        </is>
      </c>
      <c r="E102" s="2" t="n">
        <v>8</v>
      </c>
      <c r="F102" s="2" t="n">
        <v>7.35</v>
      </c>
      <c r="G102" s="2" t="n">
        <v>11.5</v>
      </c>
      <c r="H102" s="8" t="inlineStr">
        <is>
          <t>Normale</t>
        </is>
      </c>
      <c r="I102" s="2">
        <f>MAX(1,TRUNC(L102*(Impostazioni!$B$2/500)*1*M102*INDEX(Impostazioni!$E$23:$E$29,MATCH(H102,Impostazioni!$D$23:$D$29,0))))</f>
        <v/>
      </c>
      <c r="J102" s="9">
        <f>MAX(1,TRUNC(L102*(Impostazioni!$B$2/500)*INDEX(Motore!$A$5:$H$8,MATCH(C102,Motore!$A$5:$A$8,0),8)*M102*INDEX(Impostazioni!$E$23:$E$29,MATCH(H102,Impostazioni!$D$23:$D$29,0))))</f>
        <v/>
      </c>
      <c r="K102" s="2" t="inlineStr">
        <is>
          <t>Nuovo Arrivo (Rotazione)</t>
        </is>
      </c>
      <c r="L102" s="2" t="n">
        <v>8</v>
      </c>
      <c r="M102" s="2" t="n">
        <v>1.11</v>
      </c>
    </row>
    <row r="103">
      <c r="A103" s="2" t="inlineStr">
        <is>
          <t>Theate</t>
        </is>
      </c>
      <c r="B103" s="2" t="inlineStr">
        <is>
          <t>Bologna</t>
        </is>
      </c>
      <c r="C103" s="2" t="inlineStr">
        <is>
          <t>D</t>
        </is>
      </c>
      <c r="D103" s="2" t="inlineStr">
        <is>
          <t>Ds/Dc</t>
        </is>
      </c>
      <c r="E103" s="2" t="n">
        <v>8</v>
      </c>
      <c r="F103" s="2" t="n">
        <v>4.75</v>
      </c>
      <c r="G103" s="2" t="n">
        <v>2.4</v>
      </c>
      <c r="H103" s="8" t="inlineStr">
        <is>
          <t>Normale</t>
        </is>
      </c>
      <c r="I103" s="2">
        <f>MAX(1,TRUNC(L103*(Impostazioni!$B$2/500)*1*M103*INDEX(Impostazioni!$E$23:$E$29,MATCH(H103,Impostazioni!$D$23:$D$29,0))))</f>
        <v/>
      </c>
      <c r="J103" s="9">
        <f>MAX(1,TRUNC(L103*(Impostazioni!$B$2/500)*INDEX(Motore!$A$5:$H$8,MATCH(C103,Motore!$A$5:$A$8,0),8)*M103*INDEX(Impostazioni!$E$23:$E$29,MATCH(H103,Impostazioni!$D$23:$D$29,0))))</f>
        <v/>
      </c>
      <c r="K103" s="2" t="inlineStr">
        <is>
          <t>Nuovo Arrivo (Rotazione)</t>
        </is>
      </c>
      <c r="L103" s="2" t="n">
        <v>8</v>
      </c>
      <c r="M103" s="2" t="n">
        <v>1.08</v>
      </c>
    </row>
    <row r="104">
      <c r="A104" s="2" t="inlineStr">
        <is>
          <t>Tiago Gabriel</t>
        </is>
      </c>
      <c r="B104" s="2" t="inlineStr">
        <is>
          <t>Lecce</t>
        </is>
      </c>
      <c r="C104" s="2" t="inlineStr">
        <is>
          <t>D</t>
        </is>
      </c>
      <c r="D104" s="2" t="inlineStr">
        <is>
          <t>Dc</t>
        </is>
      </c>
      <c r="E104" s="2" t="n">
        <v>8</v>
      </c>
      <c r="F104" s="2" t="n">
        <v>4.3</v>
      </c>
      <c r="G104" s="2" t="n">
        <v>0.5</v>
      </c>
      <c r="H104" s="8" t="inlineStr">
        <is>
          <t>Normale</t>
        </is>
      </c>
      <c r="I104" s="2">
        <f>MAX(1,TRUNC(L104*(Impostazioni!$B$2/500)*1*M104*INDEX(Impostazioni!$E$23:$E$29,MATCH(H104,Impostazioni!$D$23:$D$29,0))))</f>
        <v/>
      </c>
      <c r="J104" s="9">
        <f>MAX(1,TRUNC(L104*(Impostazioni!$B$2/500)*INDEX(Motore!$A$5:$H$8,MATCH(C104,Motore!$A$5:$A$8,0),8)*M104*INDEX(Impostazioni!$E$23:$E$29,MATCH(H104,Impostazioni!$D$23:$D$29,0))))</f>
        <v/>
      </c>
      <c r="K104" s="2" t="inlineStr">
        <is>
          <t>Nuovo Arrivo (Rotazione)</t>
        </is>
      </c>
      <c r="L104" s="2" t="n">
        <v>8</v>
      </c>
      <c r="M104" s="2" t="n">
        <v>1</v>
      </c>
    </row>
    <row r="105">
      <c r="A105" s="2" t="inlineStr">
        <is>
          <t>Valeri</t>
        </is>
      </c>
      <c r="B105" s="2" t="inlineStr">
        <is>
          <t>Parma</t>
        </is>
      </c>
      <c r="C105" s="2" t="inlineStr">
        <is>
          <t>D</t>
        </is>
      </c>
      <c r="D105" s="2" t="inlineStr">
        <is>
          <t>Ds/E</t>
        </is>
      </c>
      <c r="E105" s="2" t="n">
        <v>8</v>
      </c>
      <c r="F105" s="2" t="n">
        <v>4</v>
      </c>
      <c r="G105" s="2" t="n">
        <v>5.85</v>
      </c>
      <c r="H105" s="8" t="inlineStr">
        <is>
          <t>Normale</t>
        </is>
      </c>
      <c r="I105" s="2">
        <f>MAX(1,TRUNC(L105*(Impostazioni!$B$2/500)*1*M105*INDEX(Impostazioni!$E$23:$E$29,MATCH(H105,Impostazioni!$D$23:$D$29,0))))</f>
        <v/>
      </c>
      <c r="J105" s="9">
        <f>MAX(1,TRUNC(L105*(Impostazioni!$B$2/500)*INDEX(Motore!$A$5:$H$8,MATCH(C105,Motore!$A$5:$A$8,0),8)*M105*INDEX(Impostazioni!$E$23:$E$29,MATCH(H105,Impostazioni!$D$23:$D$29,0))))</f>
        <v/>
      </c>
      <c r="K105" s="2" t="inlineStr">
        <is>
          <t>Nuovo Arrivo (Rotazione)</t>
        </is>
      </c>
      <c r="L105" s="2" t="n">
        <v>8</v>
      </c>
      <c r="M105" s="2" t="n">
        <v>1</v>
      </c>
    </row>
    <row r="106">
      <c r="A106" s="2" t="inlineStr">
        <is>
          <t>Zappacosta</t>
        </is>
      </c>
      <c r="B106" s="2" t="inlineStr">
        <is>
          <t>Atalanta</t>
        </is>
      </c>
      <c r="C106" s="2" t="inlineStr">
        <is>
          <t>D</t>
        </is>
      </c>
      <c r="D106" s="2" t="inlineStr">
        <is>
          <t>Dd/E</t>
        </is>
      </c>
      <c r="E106" s="2" t="n">
        <v>8</v>
      </c>
      <c r="F106" s="2" t="n">
        <v>5.85</v>
      </c>
      <c r="G106" s="2" t="n">
        <v>10.5</v>
      </c>
      <c r="H106" s="8" t="inlineStr">
        <is>
          <t>🟡 Ballottaggio</t>
        </is>
      </c>
      <c r="I106" s="2">
        <f>MAX(1,TRUNC(L106*(Impostazioni!$B$2/500)*1*M106*INDEX(Impostazioni!$E$23:$E$29,MATCH(H106,Impostazioni!$D$23:$D$29,0))))</f>
        <v/>
      </c>
      <c r="J106" s="9">
        <f>MAX(1,TRUNC(L106*(Impostazioni!$B$2/500)*INDEX(Motore!$A$5:$H$8,MATCH(C106,Motore!$A$5:$A$8,0),8)*M106*INDEX(Impostazioni!$E$23:$E$29,MATCH(H106,Impostazioni!$D$23:$D$29,0))))</f>
        <v/>
      </c>
      <c r="K106" s="2" t="inlineStr">
        <is>
          <t>Nuovo Arrivo (Rotazione)</t>
        </is>
      </c>
      <c r="L106" s="2" t="n">
        <v>8</v>
      </c>
      <c r="M106" s="2" t="n">
        <v>1.05</v>
      </c>
    </row>
    <row r="107">
      <c r="A107" s="2" t="inlineStr">
        <is>
          <t>Badiashile</t>
        </is>
      </c>
      <c r="B107" s="2" t="inlineStr">
        <is>
          <t>Napoli</t>
        </is>
      </c>
      <c r="C107" s="2" t="inlineStr">
        <is>
          <t>D</t>
        </is>
      </c>
      <c r="D107" s="2" t="inlineStr">
        <is>
          <t>Dc</t>
        </is>
      </c>
      <c r="E107" s="2" t="n">
        <v>7</v>
      </c>
      <c r="F107" s="2" t="n">
        <v>3.2</v>
      </c>
      <c r="G107" s="2" t="n">
        <v>0.5</v>
      </c>
      <c r="H107" s="8" t="inlineStr">
        <is>
          <t>Normale</t>
        </is>
      </c>
      <c r="I107" s="2">
        <f>MAX(1,TRUNC(L107*(Impostazioni!$B$2/500)*1*M107*INDEX(Impostazioni!$E$23:$E$29,MATCH(H107,Impostazioni!$D$23:$D$29,0))))</f>
        <v/>
      </c>
      <c r="J107" s="9">
        <f>MAX(1,TRUNC(L107*(Impostazioni!$B$2/500)*INDEX(Motore!$A$5:$H$8,MATCH(C107,Motore!$A$5:$A$8,0),8)*M107*INDEX(Impostazioni!$E$23:$E$29,MATCH(H107,Impostazioni!$D$23:$D$29,0))))</f>
        <v/>
      </c>
      <c r="K107" s="2" t="inlineStr">
        <is>
          <t>Scommessa / Sconosciuto</t>
        </is>
      </c>
      <c r="L107" s="2" t="n">
        <v>1</v>
      </c>
      <c r="M107" s="2" t="n">
        <v>1.11</v>
      </c>
    </row>
    <row r="108">
      <c r="A108" s="2" t="inlineStr">
        <is>
          <t>Belghali</t>
        </is>
      </c>
      <c r="B108" s="2" t="inlineStr">
        <is>
          <t>Torino</t>
        </is>
      </c>
      <c r="C108" s="2" t="inlineStr">
        <is>
          <t>D</t>
        </is>
      </c>
      <c r="D108" s="2" t="inlineStr">
        <is>
          <t>Dd/E</t>
        </is>
      </c>
      <c r="E108" s="2" t="n">
        <v>7</v>
      </c>
      <c r="F108" s="2" t="n">
        <v>2.4</v>
      </c>
      <c r="G108" s="2" t="n">
        <v>3.05</v>
      </c>
      <c r="H108" s="8" t="inlineStr">
        <is>
          <t>Normale</t>
        </is>
      </c>
      <c r="I108" s="2">
        <f>MAX(1,TRUNC(L108*(Impostazioni!$B$2/500)*1*M108*INDEX(Impostazioni!$E$23:$E$29,MATCH(H108,Impostazioni!$D$23:$D$29,0))))</f>
        <v/>
      </c>
      <c r="J108" s="9">
        <f>MAX(1,TRUNC(L108*(Impostazioni!$B$2/500)*INDEX(Motore!$A$5:$H$8,MATCH(C108,Motore!$A$5:$A$8,0),8)*M108*INDEX(Impostazioni!$E$23:$E$29,MATCH(H108,Impostazioni!$D$23:$D$29,0))))</f>
        <v/>
      </c>
      <c r="K108" s="2" t="inlineStr">
        <is>
          <t>Scommessa / Sconosciuto</t>
        </is>
      </c>
      <c r="L108" s="2" t="n">
        <v>1</v>
      </c>
      <c r="M108" s="2" t="n">
        <v>1</v>
      </c>
    </row>
    <row r="109">
      <c r="A109" s="2" t="inlineStr">
        <is>
          <t>Bracaglia</t>
        </is>
      </c>
      <c r="B109" s="2" t="inlineStr">
        <is>
          <t>Frosinone</t>
        </is>
      </c>
      <c r="C109" s="2" t="inlineStr">
        <is>
          <t>D</t>
        </is>
      </c>
      <c r="D109" s="2" t="inlineStr">
        <is>
          <t>Ds/Dc</t>
        </is>
      </c>
      <c r="E109" s="2" t="n">
        <v>7</v>
      </c>
      <c r="F109" s="2" t="n">
        <v>2.15</v>
      </c>
      <c r="G109" s="2" t="n">
        <v>0.5</v>
      </c>
      <c r="H109" s="8" t="inlineStr">
        <is>
          <t>Normale</t>
        </is>
      </c>
      <c r="I109" s="2">
        <f>MAX(1,TRUNC(L109*(Impostazioni!$B$2/500)*1*M109*INDEX(Impostazioni!$E$23:$E$29,MATCH(H109,Impostazioni!$D$23:$D$29,0))))</f>
        <v/>
      </c>
      <c r="J109" s="9">
        <f>MAX(1,TRUNC(L109*(Impostazioni!$B$2/500)*INDEX(Motore!$A$5:$H$8,MATCH(C109,Motore!$A$5:$A$8,0),8)*M109*INDEX(Impostazioni!$E$23:$E$29,MATCH(H109,Impostazioni!$D$23:$D$29,0))))</f>
        <v/>
      </c>
      <c r="K109" s="2" t="inlineStr">
        <is>
          <t>Scommessa / Sconosciuto</t>
        </is>
      </c>
      <c r="L109" s="2" t="n">
        <v>1</v>
      </c>
      <c r="M109" s="2" t="n">
        <v>0.85</v>
      </c>
    </row>
    <row r="110">
      <c r="A110" s="2" t="inlineStr">
        <is>
          <t>Coco</t>
        </is>
      </c>
      <c r="B110" s="2" t="inlineStr">
        <is>
          <t>Torino</t>
        </is>
      </c>
      <c r="C110" s="2" t="inlineStr">
        <is>
          <t>D</t>
        </is>
      </c>
      <c r="D110" s="2" t="inlineStr">
        <is>
          <t>Dc</t>
        </is>
      </c>
      <c r="E110" s="2" t="n">
        <v>7</v>
      </c>
      <c r="F110" s="2" t="n">
        <v>2.1</v>
      </c>
      <c r="G110" s="2" t="n">
        <v>0.5</v>
      </c>
      <c r="H110" s="8" t="inlineStr">
        <is>
          <t>Normale</t>
        </is>
      </c>
      <c r="I110" s="2">
        <f>MAX(1,TRUNC(L110*(Impostazioni!$B$2/500)*1*M110*INDEX(Impostazioni!$E$23:$E$29,MATCH(H110,Impostazioni!$D$23:$D$29,0))))</f>
        <v/>
      </c>
      <c r="J110" s="9">
        <f>MAX(1,TRUNC(L110*(Impostazioni!$B$2/500)*INDEX(Motore!$A$5:$H$8,MATCH(C110,Motore!$A$5:$A$8,0),8)*M110*INDEX(Impostazioni!$E$23:$E$29,MATCH(H110,Impostazioni!$D$23:$D$29,0))))</f>
        <v/>
      </c>
      <c r="K110" s="2" t="inlineStr">
        <is>
          <t>Scommessa / Sconosciuto</t>
        </is>
      </c>
      <c r="L110" s="2" t="n">
        <v>1</v>
      </c>
      <c r="M110" s="2" t="n">
        <v>1</v>
      </c>
    </row>
    <row r="111">
      <c r="A111" s="2" t="inlineStr">
        <is>
          <t>Dragusin</t>
        </is>
      </c>
      <c r="B111" s="2" t="inlineStr">
        <is>
          <t>Fiorentina</t>
        </is>
      </c>
      <c r="C111" s="2" t="inlineStr">
        <is>
          <t>D</t>
        </is>
      </c>
      <c r="D111" s="2" t="inlineStr">
        <is>
          <t>Dc</t>
        </is>
      </c>
      <c r="E111" s="2" t="n">
        <v>7</v>
      </c>
      <c r="F111" s="2" t="n">
        <v>4.65</v>
      </c>
      <c r="G111" s="2" t="n">
        <v>4.6</v>
      </c>
      <c r="H111" s="8" t="inlineStr">
        <is>
          <t>Normale</t>
        </is>
      </c>
      <c r="I111" s="2">
        <f>MAX(1,TRUNC(L111*(Impostazioni!$B$2/500)*1*M111*INDEX(Impostazioni!$E$23:$E$29,MATCH(H111,Impostazioni!$D$23:$D$29,0))))</f>
        <v/>
      </c>
      <c r="J111" s="9">
        <f>MAX(1,TRUNC(L111*(Impostazioni!$B$2/500)*INDEX(Motore!$A$5:$H$8,MATCH(C111,Motore!$A$5:$A$8,0),8)*M111*INDEX(Impostazioni!$E$23:$E$29,MATCH(H111,Impostazioni!$D$23:$D$29,0))))</f>
        <v/>
      </c>
      <c r="K111" s="2" t="inlineStr">
        <is>
          <t>Scommessa / Sconosciuto</t>
        </is>
      </c>
      <c r="L111" s="2" t="n">
        <v>1</v>
      </c>
      <c r="M111" s="2" t="n">
        <v>1</v>
      </c>
    </row>
    <row r="112">
      <c r="A112" s="2" t="inlineStr">
        <is>
          <t>Gabbia</t>
        </is>
      </c>
      <c r="B112" s="2" t="inlineStr">
        <is>
          <t>Milan</t>
        </is>
      </c>
      <c r="C112" s="2" t="inlineStr">
        <is>
          <t>D</t>
        </is>
      </c>
      <c r="D112" s="2" t="inlineStr">
        <is>
          <t>Dc</t>
        </is>
      </c>
      <c r="E112" s="2" t="n">
        <v>7</v>
      </c>
      <c r="F112" s="2" t="n">
        <v>2.1</v>
      </c>
      <c r="G112" s="2" t="n">
        <v>0.5</v>
      </c>
      <c r="H112" s="8" t="inlineStr">
        <is>
          <t>🟡 Ballottaggio</t>
        </is>
      </c>
      <c r="I112" s="2">
        <f>MAX(1,TRUNC(L112*(Impostazioni!$B$2/500)*1*M112*INDEX(Impostazioni!$E$23:$E$29,MATCH(H112,Impostazioni!$D$23:$D$29,0))))</f>
        <v/>
      </c>
      <c r="J112" s="9">
        <f>MAX(1,TRUNC(L112*(Impostazioni!$B$2/500)*INDEX(Motore!$A$5:$H$8,MATCH(C112,Motore!$A$5:$A$8,0),8)*M112*INDEX(Impostazioni!$E$23:$E$29,MATCH(H112,Impostazioni!$D$23:$D$29,0))))</f>
        <v/>
      </c>
      <c r="K112" s="2" t="inlineStr">
        <is>
          <t>Scommessa / Sconosciuto</t>
        </is>
      </c>
      <c r="L112" s="2" t="n">
        <v>1</v>
      </c>
      <c r="M112" s="2" t="n">
        <v>1.09</v>
      </c>
    </row>
    <row r="113">
      <c r="A113" s="2" t="inlineStr">
        <is>
          <t>Hien</t>
        </is>
      </c>
      <c r="B113" s="2" t="inlineStr">
        <is>
          <t>Atalanta</t>
        </is>
      </c>
      <c r="C113" s="2" t="inlineStr">
        <is>
          <t>D</t>
        </is>
      </c>
      <c r="D113" s="2" t="inlineStr">
        <is>
          <t>Dc</t>
        </is>
      </c>
      <c r="E113" s="2" t="n">
        <v>7</v>
      </c>
      <c r="F113" s="2" t="n">
        <v>1.45</v>
      </c>
      <c r="G113" s="2" t="n">
        <v>0.5</v>
      </c>
      <c r="H113" s="8" t="inlineStr">
        <is>
          <t>🔴 Infortunato/Dubbio</t>
        </is>
      </c>
      <c r="I113" s="2">
        <f>MAX(1,TRUNC(L113*(Impostazioni!$B$2/500)*1*M113*INDEX(Impostazioni!$E$23:$E$29,MATCH(H113,Impostazioni!$D$23:$D$29,0))))</f>
        <v/>
      </c>
      <c r="J113" s="9">
        <f>MAX(1,TRUNC(L113*(Impostazioni!$B$2/500)*INDEX(Motore!$A$5:$H$8,MATCH(C113,Motore!$A$5:$A$8,0),8)*M113*INDEX(Impostazioni!$E$23:$E$29,MATCH(H113,Impostazioni!$D$23:$D$29,0))))</f>
        <v/>
      </c>
      <c r="K113" s="2" t="inlineStr">
        <is>
          <t>Scommessa / Sconosciuto</t>
        </is>
      </c>
      <c r="L113" s="2" t="n">
        <v>1</v>
      </c>
      <c r="M113" s="2" t="n">
        <v>1.05</v>
      </c>
    </row>
    <row r="114">
      <c r="A114" s="2" t="inlineStr">
        <is>
          <t>Idzes</t>
        </is>
      </c>
      <c r="B114" s="2" t="inlineStr">
        <is>
          <t>Sassuolo</t>
        </is>
      </c>
      <c r="C114" s="2" t="inlineStr">
        <is>
          <t>D</t>
        </is>
      </c>
      <c r="D114" s="2" t="inlineStr">
        <is>
          <t>Dc</t>
        </is>
      </c>
      <c r="E114" s="2" t="n">
        <v>7</v>
      </c>
      <c r="F114" s="2" t="n">
        <v>1.95</v>
      </c>
      <c r="G114" s="2" t="n">
        <v>0.5</v>
      </c>
      <c r="H114" s="8" t="inlineStr">
        <is>
          <t>Normale</t>
        </is>
      </c>
      <c r="I114" s="2">
        <f>MAX(1,TRUNC(L114*(Impostazioni!$B$2/500)*1*M114*INDEX(Impostazioni!$E$23:$E$29,MATCH(H114,Impostazioni!$D$23:$D$29,0))))</f>
        <v/>
      </c>
      <c r="J114" s="9">
        <f>MAX(1,TRUNC(L114*(Impostazioni!$B$2/500)*INDEX(Motore!$A$5:$H$8,MATCH(C114,Motore!$A$5:$A$8,0),8)*M114*INDEX(Impostazioni!$E$23:$E$29,MATCH(H114,Impostazioni!$D$23:$D$29,0))))</f>
        <v/>
      </c>
      <c r="K114" s="2" t="inlineStr">
        <is>
          <t>Scommessa / Sconosciuto</t>
        </is>
      </c>
      <c r="L114" s="2" t="n">
        <v>1</v>
      </c>
      <c r="M114" s="2" t="n">
        <v>1</v>
      </c>
    </row>
    <row r="115">
      <c r="A115" s="2" t="inlineStr">
        <is>
          <t>Ismajli</t>
        </is>
      </c>
      <c r="B115" s="2" t="inlineStr">
        <is>
          <t>Torino</t>
        </is>
      </c>
      <c r="C115" s="2" t="inlineStr">
        <is>
          <t>D</t>
        </is>
      </c>
      <c r="D115" s="2" t="inlineStr">
        <is>
          <t>Dc</t>
        </is>
      </c>
      <c r="E115" s="2" t="n">
        <v>7</v>
      </c>
      <c r="F115" s="2" t="n">
        <v>1.15</v>
      </c>
      <c r="G115" s="2" t="n">
        <v>0.5</v>
      </c>
      <c r="H115" s="8" t="inlineStr">
        <is>
          <t>🪑 Riserva Fissa (da fasciaFc)</t>
        </is>
      </c>
      <c r="I115" s="2">
        <f>MAX(1,TRUNC(L115*(Impostazioni!$B$2/500)*1*M115*INDEX(Impostazioni!$E$23:$E$29,MATCH(H115,Impostazioni!$D$23:$D$29,0))))</f>
        <v/>
      </c>
      <c r="J115" s="9">
        <f>MAX(1,TRUNC(L115*(Impostazioni!$B$2/500)*INDEX(Motore!$A$5:$H$8,MATCH(C115,Motore!$A$5:$A$8,0),8)*M115*INDEX(Impostazioni!$E$23:$E$29,MATCH(H115,Impostazioni!$D$23:$D$29,0))))</f>
        <v/>
      </c>
      <c r="K115" s="2" t="inlineStr">
        <is>
          <t>Scommessa / Sconosciuto</t>
        </is>
      </c>
      <c r="L115" s="2" t="n">
        <v>1</v>
      </c>
      <c r="M115" s="2" t="n">
        <v>1</v>
      </c>
    </row>
    <row r="116">
      <c r="A116" s="2" t="inlineStr">
        <is>
          <t>Jimenez A.</t>
        </is>
      </c>
      <c r="B116" s="2" t="inlineStr">
        <is>
          <t>Fiorentina</t>
        </is>
      </c>
      <c r="C116" s="2" t="inlineStr">
        <is>
          <t>D</t>
        </is>
      </c>
      <c r="D116" s="2" t="inlineStr">
        <is>
          <t>Dd/Ds/E</t>
        </is>
      </c>
      <c r="E116" s="2" t="n">
        <v>7</v>
      </c>
      <c r="F116" s="2" t="n">
        <v>7.65</v>
      </c>
      <c r="G116" s="2" t="n">
        <v>9.449999999999999</v>
      </c>
      <c r="H116" s="8" t="inlineStr">
        <is>
          <t>Normale</t>
        </is>
      </c>
      <c r="I116" s="2">
        <f>MAX(1,TRUNC(L116*(Impostazioni!$B$2/500)*1*M116*INDEX(Impostazioni!$E$23:$E$29,MATCH(H116,Impostazioni!$D$23:$D$29,0))))</f>
        <v/>
      </c>
      <c r="J116" s="9">
        <f>MAX(1,TRUNC(L116*(Impostazioni!$B$2/500)*INDEX(Motore!$A$5:$H$8,MATCH(C116,Motore!$A$5:$A$8,0),8)*M116*INDEX(Impostazioni!$E$23:$E$29,MATCH(H116,Impostazioni!$D$23:$D$29,0))))</f>
        <v/>
      </c>
      <c r="K116" s="2" t="inlineStr">
        <is>
          <t>Scommessa / Sconosciuto</t>
        </is>
      </c>
      <c r="L116" s="2" t="n">
        <v>1</v>
      </c>
      <c r="M116" s="2" t="n">
        <v>1</v>
      </c>
    </row>
    <row r="117">
      <c r="A117" s="2" t="inlineStr">
        <is>
          <t>Lucumì</t>
        </is>
      </c>
      <c r="B117" s="2" t="inlineStr">
        <is>
          <t>Juventus</t>
        </is>
      </c>
      <c r="C117" s="2" t="inlineStr">
        <is>
          <t>D</t>
        </is>
      </c>
      <c r="D117" s="2" t="inlineStr">
        <is>
          <t>Dc</t>
        </is>
      </c>
      <c r="E117" s="2" t="n">
        <v>7</v>
      </c>
      <c r="F117" s="2" t="n">
        <v>8.85</v>
      </c>
      <c r="G117" s="2" t="n">
        <v>4</v>
      </c>
      <c r="H117" s="8" t="inlineStr">
        <is>
          <t>Normale</t>
        </is>
      </c>
      <c r="I117" s="2">
        <f>MAX(1,TRUNC(L117*(Impostazioni!$B$2/500)*1*M117*INDEX(Impostazioni!$E$23:$E$29,MATCH(H117,Impostazioni!$D$23:$D$29,0))))</f>
        <v/>
      </c>
      <c r="J117" s="9">
        <f>MAX(1,TRUNC(L117*(Impostazioni!$B$2/500)*INDEX(Motore!$A$5:$H$8,MATCH(C117,Motore!$A$5:$A$8,0),8)*M117*INDEX(Impostazioni!$E$23:$E$29,MATCH(H117,Impostazioni!$D$23:$D$29,0))))</f>
        <v/>
      </c>
      <c r="K117" s="2" t="inlineStr">
        <is>
          <t>Scommessa / Sconosciuto</t>
        </is>
      </c>
      <c r="L117" s="2" t="n">
        <v>1</v>
      </c>
      <c r="M117" s="2" t="n">
        <v>1.12</v>
      </c>
    </row>
    <row r="118">
      <c r="A118" s="2" t="inlineStr">
        <is>
          <t>Mangas</t>
        </is>
      </c>
      <c r="B118" s="2" t="inlineStr">
        <is>
          <t>Monza</t>
        </is>
      </c>
      <c r="C118" s="2" t="inlineStr">
        <is>
          <t>D</t>
        </is>
      </c>
      <c r="D118" s="2" t="inlineStr">
        <is>
          <t>Ds/E</t>
        </is>
      </c>
      <c r="E118" s="2" t="n">
        <v>7</v>
      </c>
      <c r="F118" s="2" t="n">
        <v>2.55</v>
      </c>
      <c r="G118" s="2" t="n">
        <v>0.5</v>
      </c>
      <c r="H118" s="8" t="inlineStr">
        <is>
          <t>Normale</t>
        </is>
      </c>
      <c r="I118" s="2">
        <f>MAX(1,TRUNC(L118*(Impostazioni!$B$2/500)*1*M118*INDEX(Impostazioni!$E$23:$E$29,MATCH(H118,Impostazioni!$D$23:$D$29,0))))</f>
        <v/>
      </c>
      <c r="J118" s="9">
        <f>MAX(1,TRUNC(L118*(Impostazioni!$B$2/500)*INDEX(Motore!$A$5:$H$8,MATCH(C118,Motore!$A$5:$A$8,0),8)*M118*INDEX(Impostazioni!$E$23:$E$29,MATCH(H118,Impostazioni!$D$23:$D$29,0))))</f>
        <v/>
      </c>
      <c r="K118" s="2" t="inlineStr">
        <is>
          <t>Scommessa / Sconosciuto</t>
        </is>
      </c>
      <c r="L118" s="2" t="n">
        <v>1</v>
      </c>
      <c r="M118" s="2" t="n">
        <v>0.85</v>
      </c>
    </row>
    <row r="119">
      <c r="A119" s="2" t="inlineStr">
        <is>
          <t>Mina</t>
        </is>
      </c>
      <c r="B119" s="2" t="inlineStr">
        <is>
          <t>Cagliari</t>
        </is>
      </c>
      <c r="C119" s="2" t="inlineStr">
        <is>
          <t>D</t>
        </is>
      </c>
      <c r="D119" s="2" t="inlineStr">
        <is>
          <t>Dc</t>
        </is>
      </c>
      <c r="E119" s="2" t="n">
        <v>7</v>
      </c>
      <c r="F119" s="2" t="n">
        <v>2.9</v>
      </c>
      <c r="G119" s="2" t="n">
        <v>0.65</v>
      </c>
      <c r="H119" s="8" t="inlineStr">
        <is>
          <t>🔴 Infortunato/Dubbio</t>
        </is>
      </c>
      <c r="I119" s="2">
        <f>MAX(1,TRUNC(L119*(Impostazioni!$B$2/500)*1*M119*INDEX(Impostazioni!$E$23:$E$29,MATCH(H119,Impostazioni!$D$23:$D$29,0))))</f>
        <v/>
      </c>
      <c r="J119" s="9">
        <f>MAX(1,TRUNC(L119*(Impostazioni!$B$2/500)*INDEX(Motore!$A$5:$H$8,MATCH(C119,Motore!$A$5:$A$8,0),8)*M119*INDEX(Impostazioni!$E$23:$E$29,MATCH(H119,Impostazioni!$D$23:$D$29,0))))</f>
        <v/>
      </c>
      <c r="K119" s="2" t="inlineStr">
        <is>
          <t>Scommessa / Sconosciuto</t>
        </is>
      </c>
      <c r="L119" s="2" t="n">
        <v>1</v>
      </c>
      <c r="M119" s="2" t="n">
        <v>1</v>
      </c>
    </row>
    <row r="120">
      <c r="A120" s="2" t="inlineStr">
        <is>
          <t>Obert</t>
        </is>
      </c>
      <c r="B120" s="2" t="inlineStr">
        <is>
          <t>Cagliari</t>
        </is>
      </c>
      <c r="C120" s="2" t="inlineStr">
        <is>
          <t>D</t>
        </is>
      </c>
      <c r="D120" s="2" t="inlineStr">
        <is>
          <t>B/Ds/E</t>
        </is>
      </c>
      <c r="E120" s="2" t="n">
        <v>7</v>
      </c>
      <c r="F120" s="2" t="n">
        <v>3.55</v>
      </c>
      <c r="G120" s="2" t="n">
        <v>0.5</v>
      </c>
      <c r="H120" s="8" t="inlineStr">
        <is>
          <t>Normale</t>
        </is>
      </c>
      <c r="I120" s="2">
        <f>MAX(1,TRUNC(L120*(Impostazioni!$B$2/500)*1*M120*INDEX(Impostazioni!$E$23:$E$29,MATCH(H120,Impostazioni!$D$23:$D$29,0))))</f>
        <v/>
      </c>
      <c r="J120" s="9">
        <f>MAX(1,TRUNC(L120*(Impostazioni!$B$2/500)*INDEX(Motore!$A$5:$H$8,MATCH(C120,Motore!$A$5:$A$8,0),8)*M120*INDEX(Impostazioni!$E$23:$E$29,MATCH(H120,Impostazioni!$D$23:$D$29,0))))</f>
        <v/>
      </c>
      <c r="K120" s="2" t="inlineStr">
        <is>
          <t>Scommessa / Sconosciuto</t>
        </is>
      </c>
      <c r="L120" s="2" t="n">
        <v>1</v>
      </c>
      <c r="M120" s="2" t="n">
        <v>1</v>
      </c>
    </row>
    <row r="121">
      <c r="A121" s="2" t="inlineStr">
        <is>
          <t>Sutalo J.</t>
        </is>
      </c>
      <c r="B121" s="2" t="inlineStr">
        <is>
          <t>Lazio</t>
        </is>
      </c>
      <c r="C121" s="2" t="inlineStr">
        <is>
          <t>D</t>
        </is>
      </c>
      <c r="D121" s="2" t="inlineStr">
        <is>
          <t>Dc</t>
        </is>
      </c>
      <c r="E121" s="2" t="n">
        <v>7</v>
      </c>
      <c r="F121" s="2" t="n">
        <v>1.95</v>
      </c>
      <c r="G121" s="2" t="n">
        <v>1</v>
      </c>
      <c r="H121" s="8" t="inlineStr">
        <is>
          <t>Normale</t>
        </is>
      </c>
      <c r="I121" s="2">
        <f>MAX(1,TRUNC(L121*(Impostazioni!$B$2/500)*1*M121*INDEX(Impostazioni!$E$23:$E$29,MATCH(H121,Impostazioni!$D$23:$D$29,0))))</f>
        <v/>
      </c>
      <c r="J121" s="9">
        <f>MAX(1,TRUNC(L121*(Impostazioni!$B$2/500)*INDEX(Motore!$A$5:$H$8,MATCH(C121,Motore!$A$5:$A$8,0),8)*M121*INDEX(Impostazioni!$E$23:$E$29,MATCH(H121,Impostazioni!$D$23:$D$29,0))))</f>
        <v/>
      </c>
      <c r="K121" s="2" t="inlineStr">
        <is>
          <t>Scommessa / Sconosciuto</t>
        </is>
      </c>
      <c r="L121" s="2" t="n">
        <v>1</v>
      </c>
      <c r="M121" s="2" t="n">
        <v>1</v>
      </c>
    </row>
    <row r="122">
      <c r="A122" s="2" t="inlineStr">
        <is>
          <t>Tavares N.</t>
        </is>
      </c>
      <c r="B122" s="2" t="inlineStr">
        <is>
          <t>Lazio</t>
        </is>
      </c>
      <c r="C122" s="2" t="inlineStr">
        <is>
          <t>D</t>
        </is>
      </c>
      <c r="D122" s="2" t="inlineStr">
        <is>
          <t>Ds/E</t>
        </is>
      </c>
      <c r="E122" s="2" t="n">
        <v>7</v>
      </c>
      <c r="F122" s="2" t="n">
        <v>7.7</v>
      </c>
      <c r="G122" s="2" t="n">
        <v>5.15</v>
      </c>
      <c r="H122" s="8" t="inlineStr">
        <is>
          <t>🟡 Ballottaggio</t>
        </is>
      </c>
      <c r="I122" s="2">
        <f>MAX(1,TRUNC(L122*(Impostazioni!$B$2/500)*1*M122*INDEX(Impostazioni!$E$23:$E$29,MATCH(H122,Impostazioni!$D$23:$D$29,0))))</f>
        <v/>
      </c>
      <c r="J122" s="9">
        <f>MAX(1,TRUNC(L122*(Impostazioni!$B$2/500)*INDEX(Motore!$A$5:$H$8,MATCH(C122,Motore!$A$5:$A$8,0),8)*M122*INDEX(Impostazioni!$E$23:$E$29,MATCH(H122,Impostazioni!$D$23:$D$29,0))))</f>
        <v/>
      </c>
      <c r="K122" s="2" t="inlineStr">
        <is>
          <t>Scommessa / Sconosciuto</t>
        </is>
      </c>
      <c r="L122" s="2" t="n">
        <v>1</v>
      </c>
      <c r="M122" s="2" t="n">
        <v>1</v>
      </c>
    </row>
    <row r="123">
      <c r="A123" s="2" t="inlineStr">
        <is>
          <t>Zortea</t>
        </is>
      </c>
      <c r="B123" s="2" t="inlineStr">
        <is>
          <t>Bologna</t>
        </is>
      </c>
      <c r="C123" s="2" t="inlineStr">
        <is>
          <t>D</t>
        </is>
      </c>
      <c r="D123" s="2" t="inlineStr">
        <is>
          <t>Dd/E</t>
        </is>
      </c>
      <c r="E123" s="2" t="n">
        <v>7</v>
      </c>
      <c r="F123" s="2" t="n">
        <v>2.35</v>
      </c>
      <c r="G123" s="2" t="n">
        <v>0.55</v>
      </c>
      <c r="H123" s="8" t="inlineStr">
        <is>
          <t>🟡 Ballottaggio</t>
        </is>
      </c>
      <c r="I123" s="2">
        <f>MAX(1,TRUNC(L123*(Impostazioni!$B$2/500)*1*M123*INDEX(Impostazioni!$E$23:$E$29,MATCH(H123,Impostazioni!$D$23:$D$29,0))))</f>
        <v/>
      </c>
      <c r="J123" s="9">
        <f>MAX(1,TRUNC(L123*(Impostazioni!$B$2/500)*INDEX(Motore!$A$5:$H$8,MATCH(C123,Motore!$A$5:$A$8,0),8)*M123*INDEX(Impostazioni!$E$23:$E$29,MATCH(H123,Impostazioni!$D$23:$D$29,0))))</f>
        <v/>
      </c>
      <c r="K123" s="2" t="inlineStr">
        <is>
          <t>Scommessa / Sconosciuto</t>
        </is>
      </c>
      <c r="L123" s="2" t="n">
        <v>1</v>
      </c>
      <c r="M123" s="2" t="n">
        <v>1.08</v>
      </c>
    </row>
    <row r="124">
      <c r="A124" s="2" t="inlineStr">
        <is>
          <t>Balerdi</t>
        </is>
      </c>
      <c r="B124" s="2" t="inlineStr">
        <is>
          <t>Roma</t>
        </is>
      </c>
      <c r="C124" s="2" t="inlineStr">
        <is>
          <t>D</t>
        </is>
      </c>
      <c r="D124" s="2" t="inlineStr">
        <is>
          <t>Dc</t>
        </is>
      </c>
      <c r="E124" s="2" t="n">
        <v>6</v>
      </c>
      <c r="F124" s="2" t="n">
        <v>1.35</v>
      </c>
      <c r="G124" s="2" t="n">
        <v>0.5</v>
      </c>
      <c r="H124" s="8" t="inlineStr">
        <is>
          <t>🪑 Riserva Fissa (da fasciaFc)</t>
        </is>
      </c>
      <c r="I124" s="2">
        <f>MAX(1,TRUNC(L124*(Impostazioni!$B$2/500)*1*M124*INDEX(Impostazioni!$E$23:$E$29,MATCH(H124,Impostazioni!$D$23:$D$29,0))))</f>
        <v/>
      </c>
      <c r="J124" s="9">
        <f>MAX(1,TRUNC(L124*(Impostazioni!$B$2/500)*INDEX(Motore!$A$5:$H$8,MATCH(C124,Motore!$A$5:$A$8,0),8)*M124*INDEX(Impostazioni!$E$23:$E$29,MATCH(H124,Impostazioni!$D$23:$D$29,0))))</f>
        <v/>
      </c>
      <c r="K124" s="2" t="inlineStr">
        <is>
          <t>Scommessa / Sconosciuto</t>
        </is>
      </c>
      <c r="L124" s="2" t="n">
        <v>1</v>
      </c>
      <c r="M124" s="2" t="n">
        <v>1.16</v>
      </c>
    </row>
    <row r="125">
      <c r="A125" s="2" t="inlineStr">
        <is>
          <t>Bellanova</t>
        </is>
      </c>
      <c r="B125" s="2" t="inlineStr">
        <is>
          <t>Atalanta</t>
        </is>
      </c>
      <c r="C125" s="2" t="inlineStr">
        <is>
          <t>D</t>
        </is>
      </c>
      <c r="D125" s="2" t="inlineStr">
        <is>
          <t>Dd/E</t>
        </is>
      </c>
      <c r="E125" s="2" t="n">
        <v>6</v>
      </c>
      <c r="F125" s="2" t="n">
        <v>3.35</v>
      </c>
      <c r="G125" s="2" t="n">
        <v>2.15</v>
      </c>
      <c r="H125" s="8" t="inlineStr">
        <is>
          <t>🟡 Ballottaggio</t>
        </is>
      </c>
      <c r="I125" s="2">
        <f>MAX(1,TRUNC(L125*(Impostazioni!$B$2/500)*1*M125*INDEX(Impostazioni!$E$23:$E$29,MATCH(H125,Impostazioni!$D$23:$D$29,0))))</f>
        <v/>
      </c>
      <c r="J125" s="9">
        <f>MAX(1,TRUNC(L125*(Impostazioni!$B$2/500)*INDEX(Motore!$A$5:$H$8,MATCH(C125,Motore!$A$5:$A$8,0),8)*M125*INDEX(Impostazioni!$E$23:$E$29,MATCH(H125,Impostazioni!$D$23:$D$29,0))))</f>
        <v/>
      </c>
      <c r="K125" s="2" t="inlineStr">
        <is>
          <t>Scommessa / Sconosciuto</t>
        </is>
      </c>
      <c r="L125" s="2" t="n">
        <v>1</v>
      </c>
      <c r="M125" s="2" t="n">
        <v>1.05</v>
      </c>
    </row>
    <row r="126">
      <c r="A126" s="2" t="inlineStr">
        <is>
          <t>Bernasconi</t>
        </is>
      </c>
      <c r="B126" s="2" t="inlineStr">
        <is>
          <t>Atalanta</t>
        </is>
      </c>
      <c r="C126" s="2" t="inlineStr">
        <is>
          <t>D</t>
        </is>
      </c>
      <c r="D126" s="2" t="inlineStr">
        <is>
          <t>Ds/E</t>
        </is>
      </c>
      <c r="E126" s="2" t="n">
        <v>6</v>
      </c>
      <c r="F126" s="2" t="n">
        <v>5.2</v>
      </c>
      <c r="G126" s="2" t="n">
        <v>6.75</v>
      </c>
      <c r="H126" s="8" t="inlineStr">
        <is>
          <t>Normale</t>
        </is>
      </c>
      <c r="I126" s="2">
        <f>MAX(1,TRUNC(L126*(Impostazioni!$B$2/500)*1*M126*INDEX(Impostazioni!$E$23:$E$29,MATCH(H126,Impostazioni!$D$23:$D$29,0))))</f>
        <v/>
      </c>
      <c r="J126" s="9">
        <f>MAX(1,TRUNC(L126*(Impostazioni!$B$2/500)*INDEX(Motore!$A$5:$H$8,MATCH(C126,Motore!$A$5:$A$8,0),8)*M126*INDEX(Impostazioni!$E$23:$E$29,MATCH(H126,Impostazioni!$D$23:$D$29,0))))</f>
        <v/>
      </c>
      <c r="K126" s="2" t="inlineStr">
        <is>
          <t>Scommessa / Sconosciuto</t>
        </is>
      </c>
      <c r="L126" s="2" t="n">
        <v>1</v>
      </c>
      <c r="M126" s="2" t="n">
        <v>1.05</v>
      </c>
    </row>
    <row r="127">
      <c r="A127" s="2" t="inlineStr">
        <is>
          <t>Beukema</t>
        </is>
      </c>
      <c r="B127" s="2" t="inlineStr">
        <is>
          <t>Napoli</t>
        </is>
      </c>
      <c r="C127" s="2" t="inlineStr">
        <is>
          <t>D</t>
        </is>
      </c>
      <c r="D127" s="2" t="inlineStr">
        <is>
          <t>Dc</t>
        </is>
      </c>
      <c r="E127" s="2" t="n">
        <v>6</v>
      </c>
      <c r="F127" s="2" t="n">
        <v>1.35</v>
      </c>
      <c r="G127" s="2" t="n">
        <v>0.5</v>
      </c>
      <c r="H127" s="8" t="inlineStr">
        <is>
          <t>🪑 Riserva Fissa (da fasciaFc)</t>
        </is>
      </c>
      <c r="I127" s="2">
        <f>MAX(1,TRUNC(L127*(Impostazioni!$B$2/500)*1*M127*INDEX(Impostazioni!$E$23:$E$29,MATCH(H127,Impostazioni!$D$23:$D$29,0))))</f>
        <v/>
      </c>
      <c r="J127" s="9">
        <f>MAX(1,TRUNC(L127*(Impostazioni!$B$2/500)*INDEX(Motore!$A$5:$H$8,MATCH(C127,Motore!$A$5:$A$8,0),8)*M127*INDEX(Impostazioni!$E$23:$E$29,MATCH(H127,Impostazioni!$D$23:$D$29,0))))</f>
        <v/>
      </c>
      <c r="K127" s="2" t="inlineStr">
        <is>
          <t>Scommessa / Sconosciuto</t>
        </is>
      </c>
      <c r="L127" s="2" t="n">
        <v>1</v>
      </c>
      <c r="M127" s="2" t="n">
        <v>1.11</v>
      </c>
    </row>
    <row r="128">
      <c r="A128" s="2" t="inlineStr">
        <is>
          <t>Buongiorno</t>
        </is>
      </c>
      <c r="B128" s="2" t="inlineStr">
        <is>
          <t>Napoli</t>
        </is>
      </c>
      <c r="C128" s="2" t="inlineStr">
        <is>
          <t>D</t>
        </is>
      </c>
      <c r="D128" s="2" t="inlineStr">
        <is>
          <t>Dc</t>
        </is>
      </c>
      <c r="E128" s="2" t="n">
        <v>6</v>
      </c>
      <c r="F128" s="2" t="n">
        <v>1.85</v>
      </c>
      <c r="G128" s="2" t="n">
        <v>0.5</v>
      </c>
      <c r="H128" s="8" t="inlineStr">
        <is>
          <t>🔴 Infortunato/Dubbio</t>
        </is>
      </c>
      <c r="I128" s="2">
        <f>MAX(1,TRUNC(L128*(Impostazioni!$B$2/500)*1*M128*INDEX(Impostazioni!$E$23:$E$29,MATCH(H128,Impostazioni!$D$23:$D$29,0))))</f>
        <v/>
      </c>
      <c r="J128" s="9">
        <f>MAX(1,TRUNC(L128*(Impostazioni!$B$2/500)*INDEX(Motore!$A$5:$H$8,MATCH(C128,Motore!$A$5:$A$8,0),8)*M128*INDEX(Impostazioni!$E$23:$E$29,MATCH(H128,Impostazioni!$D$23:$D$29,0))))</f>
        <v/>
      </c>
      <c r="K128" s="2" t="inlineStr">
        <is>
          <t>Scommessa / Sconosciuto</t>
        </is>
      </c>
      <c r="L128" s="2" t="n">
        <v>1</v>
      </c>
      <c r="M128" s="2" t="n">
        <v>1.11</v>
      </c>
    </row>
    <row r="129">
      <c r="A129" s="2" t="inlineStr">
        <is>
          <t>Caleta-Car</t>
        </is>
      </c>
      <c r="B129" s="2" t="inlineStr">
        <is>
          <t>Sassuolo</t>
        </is>
      </c>
      <c r="C129" s="2" t="inlineStr">
        <is>
          <t>D</t>
        </is>
      </c>
      <c r="D129" s="2" t="inlineStr">
        <is>
          <t>Dc</t>
        </is>
      </c>
      <c r="E129" s="2" t="n">
        <v>6</v>
      </c>
      <c r="F129" s="2" t="n">
        <v>1.05</v>
      </c>
      <c r="G129" s="2" t="n">
        <v>0.5</v>
      </c>
      <c r="H129" s="8" t="inlineStr">
        <is>
          <t>🟡 Ballottaggio</t>
        </is>
      </c>
      <c r="I129" s="2">
        <f>MAX(1,TRUNC(L129*(Impostazioni!$B$2/500)*1*M129*INDEX(Impostazioni!$E$23:$E$29,MATCH(H129,Impostazioni!$D$23:$D$29,0))))</f>
        <v/>
      </c>
      <c r="J129" s="9">
        <f>MAX(1,TRUNC(L129*(Impostazioni!$B$2/500)*INDEX(Motore!$A$5:$H$8,MATCH(C129,Motore!$A$5:$A$8,0),8)*M129*INDEX(Impostazioni!$E$23:$E$29,MATCH(H129,Impostazioni!$D$23:$D$29,0))))</f>
        <v/>
      </c>
      <c r="K129" s="2" t="inlineStr">
        <is>
          <t>Scommessa / Sconosciuto</t>
        </is>
      </c>
      <c r="L129" s="2" t="n">
        <v>1</v>
      </c>
      <c r="M129" s="2" t="n">
        <v>1</v>
      </c>
    </row>
    <row r="130">
      <c r="A130" s="2" t="inlineStr">
        <is>
          <t>Carlos Augusto</t>
        </is>
      </c>
      <c r="B130" s="2" t="inlineStr">
        <is>
          <t>Inter</t>
        </is>
      </c>
      <c r="C130" s="2" t="inlineStr">
        <is>
          <t>D</t>
        </is>
      </c>
      <c r="D130" s="2" t="inlineStr">
        <is>
          <t>B/Ds/E</t>
        </is>
      </c>
      <c r="E130" s="2" t="n">
        <v>6</v>
      </c>
      <c r="F130" s="2" t="n">
        <v>3.5</v>
      </c>
      <c r="G130" s="2" t="n">
        <v>3.45</v>
      </c>
      <c r="H130" s="8" t="inlineStr">
        <is>
          <t>Normale</t>
        </is>
      </c>
      <c r="I130" s="2">
        <f>MAX(1,TRUNC(L130*(Impostazioni!$B$2/500)*1*M130*INDEX(Impostazioni!$E$23:$E$29,MATCH(H130,Impostazioni!$D$23:$D$29,0))))</f>
        <v/>
      </c>
      <c r="J130" s="9">
        <f>MAX(1,TRUNC(L130*(Impostazioni!$B$2/500)*INDEX(Motore!$A$5:$H$8,MATCH(C130,Motore!$A$5:$A$8,0),8)*M130*INDEX(Impostazioni!$E$23:$E$29,MATCH(H130,Impostazioni!$D$23:$D$29,0))))</f>
        <v/>
      </c>
      <c r="K130" s="2" t="inlineStr">
        <is>
          <t>Scommessa / Sconosciuto</t>
        </is>
      </c>
      <c r="L130" s="2" t="n">
        <v>1</v>
      </c>
      <c r="M130" s="2" t="n">
        <v>1.18</v>
      </c>
    </row>
    <row r="131">
      <c r="A131" s="2" t="inlineStr">
        <is>
          <t>Fortini</t>
        </is>
      </c>
      <c r="B131" s="2" t="inlineStr">
        <is>
          <t>Torino</t>
        </is>
      </c>
      <c r="C131" s="2" t="inlineStr">
        <is>
          <t>D</t>
        </is>
      </c>
      <c r="D131" s="2" t="inlineStr">
        <is>
          <t>E</t>
        </is>
      </c>
      <c r="E131" s="2" t="n">
        <v>6</v>
      </c>
      <c r="F131" s="2" t="n">
        <v>1.15</v>
      </c>
      <c r="G131" s="2" t="n">
        <v>0.5</v>
      </c>
      <c r="H131" s="8" t="inlineStr">
        <is>
          <t>Normale</t>
        </is>
      </c>
      <c r="I131" s="2">
        <f>MAX(1,TRUNC(L131*(Impostazioni!$B$2/500)*1*M131*INDEX(Impostazioni!$E$23:$E$29,MATCH(H131,Impostazioni!$D$23:$D$29,0))))</f>
        <v/>
      </c>
      <c r="J131" s="9">
        <f>MAX(1,TRUNC(L131*(Impostazioni!$B$2/500)*INDEX(Motore!$A$5:$H$8,MATCH(C131,Motore!$A$5:$A$8,0),8)*M131*INDEX(Impostazioni!$E$23:$E$29,MATCH(H131,Impostazioni!$D$23:$D$29,0))))</f>
        <v/>
      </c>
      <c r="K131" s="2" t="inlineStr">
        <is>
          <t>Scommessa / Sconosciuto</t>
        </is>
      </c>
      <c r="L131" s="2" t="n">
        <v>1</v>
      </c>
      <c r="M131" s="2" t="n">
        <v>1</v>
      </c>
    </row>
    <row r="132">
      <c r="A132" s="2" t="inlineStr">
        <is>
          <t>Gallo</t>
        </is>
      </c>
      <c r="B132" s="2" t="inlineStr">
        <is>
          <t>Lecce</t>
        </is>
      </c>
      <c r="C132" s="2" t="inlineStr">
        <is>
          <t>D</t>
        </is>
      </c>
      <c r="D132" s="2" t="inlineStr">
        <is>
          <t>Ds/E</t>
        </is>
      </c>
      <c r="E132" s="2" t="n">
        <v>6</v>
      </c>
      <c r="F132" s="2" t="n">
        <v>1.55</v>
      </c>
      <c r="G132" s="2" t="n">
        <v>0.5</v>
      </c>
      <c r="H132" s="8" t="inlineStr">
        <is>
          <t>🟡 Ballottaggio</t>
        </is>
      </c>
      <c r="I132" s="2">
        <f>MAX(1,TRUNC(L132*(Impostazioni!$B$2/500)*1*M132*INDEX(Impostazioni!$E$23:$E$29,MATCH(H132,Impostazioni!$D$23:$D$29,0))))</f>
        <v/>
      </c>
      <c r="J132" s="9">
        <f>MAX(1,TRUNC(L132*(Impostazioni!$B$2/500)*INDEX(Motore!$A$5:$H$8,MATCH(C132,Motore!$A$5:$A$8,0),8)*M132*INDEX(Impostazioni!$E$23:$E$29,MATCH(H132,Impostazioni!$D$23:$D$29,0))))</f>
        <v/>
      </c>
      <c r="K132" s="2" t="inlineStr">
        <is>
          <t>Scommessa / Sconosciuto</t>
        </is>
      </c>
      <c r="L132" s="2" t="n">
        <v>1</v>
      </c>
      <c r="M132" s="2" t="n">
        <v>1</v>
      </c>
    </row>
    <row r="133">
      <c r="A133" s="2" t="inlineStr">
        <is>
          <t>Heggem</t>
        </is>
      </c>
      <c r="B133" s="2" t="inlineStr">
        <is>
          <t>Bologna</t>
        </is>
      </c>
      <c r="C133" s="2" t="inlineStr">
        <is>
          <t>D</t>
        </is>
      </c>
      <c r="D133" s="2" t="inlineStr">
        <is>
          <t>Ds/Dc</t>
        </is>
      </c>
      <c r="E133" s="2" t="n">
        <v>6</v>
      </c>
      <c r="F133" s="2" t="n">
        <v>2.75</v>
      </c>
      <c r="G133" s="2" t="n">
        <v>1.8</v>
      </c>
      <c r="H133" s="8" t="inlineStr">
        <is>
          <t>Normale</t>
        </is>
      </c>
      <c r="I133" s="2">
        <f>MAX(1,TRUNC(L133*(Impostazioni!$B$2/500)*1*M133*INDEX(Impostazioni!$E$23:$E$29,MATCH(H133,Impostazioni!$D$23:$D$29,0))))</f>
        <v/>
      </c>
      <c r="J133" s="9">
        <f>MAX(1,TRUNC(L133*(Impostazioni!$B$2/500)*INDEX(Motore!$A$5:$H$8,MATCH(C133,Motore!$A$5:$A$8,0),8)*M133*INDEX(Impostazioni!$E$23:$E$29,MATCH(H133,Impostazioni!$D$23:$D$29,0))))</f>
        <v/>
      </c>
      <c r="K133" s="2" t="inlineStr">
        <is>
          <t>Scommessa / Sconosciuto</t>
        </is>
      </c>
      <c r="L133" s="2" t="n">
        <v>1</v>
      </c>
      <c r="M133" s="2" t="n">
        <v>1.08</v>
      </c>
    </row>
    <row r="134">
      <c r="A134" s="2" t="inlineStr">
        <is>
          <t>Holm</t>
        </is>
      </c>
      <c r="B134" s="2" t="inlineStr">
        <is>
          <t>Bologna</t>
        </is>
      </c>
      <c r="C134" s="2" t="inlineStr">
        <is>
          <t>D</t>
        </is>
      </c>
      <c r="D134" s="2" t="inlineStr">
        <is>
          <t>Dd/E</t>
        </is>
      </c>
      <c r="E134" s="2" t="n">
        <v>6</v>
      </c>
      <c r="F134" s="2" t="n">
        <v>1.55</v>
      </c>
      <c r="G134" s="2" t="n">
        <v>3.45</v>
      </c>
      <c r="H134" s="8" t="inlineStr">
        <is>
          <t>🟡 Ballottaggio</t>
        </is>
      </c>
      <c r="I134" s="2">
        <f>MAX(1,TRUNC(L134*(Impostazioni!$B$2/500)*1*M134*INDEX(Impostazioni!$E$23:$E$29,MATCH(H134,Impostazioni!$D$23:$D$29,0))))</f>
        <v/>
      </c>
      <c r="J134" s="9">
        <f>MAX(1,TRUNC(L134*(Impostazioni!$B$2/500)*INDEX(Motore!$A$5:$H$8,MATCH(C134,Motore!$A$5:$A$8,0),8)*M134*INDEX(Impostazioni!$E$23:$E$29,MATCH(H134,Impostazioni!$D$23:$D$29,0))))</f>
        <v/>
      </c>
      <c r="K134" s="2" t="inlineStr">
        <is>
          <t>Scommessa / Sconosciuto</t>
        </is>
      </c>
      <c r="L134" s="2" t="n">
        <v>1</v>
      </c>
      <c r="M134" s="2" t="n">
        <v>1.08</v>
      </c>
    </row>
    <row r="135">
      <c r="A135" s="2" t="inlineStr">
        <is>
          <t>Kaiki</t>
        </is>
      </c>
      <c r="B135" s="2" t="inlineStr">
        <is>
          <t>Como</t>
        </is>
      </c>
      <c r="C135" s="2" t="inlineStr">
        <is>
          <t>D</t>
        </is>
      </c>
      <c r="D135" s="2" t="inlineStr">
        <is>
          <t>Ds/E</t>
        </is>
      </c>
      <c r="E135" s="2" t="n">
        <v>6</v>
      </c>
      <c r="F135" s="2" t="n">
        <v>2.35</v>
      </c>
      <c r="G135" s="2" t="n">
        <v>3.95</v>
      </c>
      <c r="H135" s="8" t="inlineStr">
        <is>
          <t>🟡 Ballottaggio</t>
        </is>
      </c>
      <c r="I135" s="2">
        <f>MAX(1,TRUNC(L135*(Impostazioni!$B$2/500)*1*M135*INDEX(Impostazioni!$E$23:$E$29,MATCH(H135,Impostazioni!$D$23:$D$29,0))))</f>
        <v/>
      </c>
      <c r="J135" s="9">
        <f>MAX(1,TRUNC(L135*(Impostazioni!$B$2/500)*INDEX(Motore!$A$5:$H$8,MATCH(C135,Motore!$A$5:$A$8,0),8)*M135*INDEX(Impostazioni!$E$23:$E$29,MATCH(H135,Impostazioni!$D$23:$D$29,0))))</f>
        <v/>
      </c>
      <c r="K135" s="2" t="inlineStr">
        <is>
          <t>Scommessa / Sconosciuto</t>
        </is>
      </c>
      <c r="L135" s="2" t="n">
        <v>1</v>
      </c>
      <c r="M135" s="2" t="n">
        <v>1.19</v>
      </c>
    </row>
    <row r="136">
      <c r="A136" s="2" t="inlineStr">
        <is>
          <t>Kolasinac</t>
        </is>
      </c>
      <c r="B136" s="2" t="inlineStr">
        <is>
          <t>Atalanta</t>
        </is>
      </c>
      <c r="C136" s="2" t="inlineStr">
        <is>
          <t>D</t>
        </is>
      </c>
      <c r="D136" s="2" t="inlineStr">
        <is>
          <t>Ds/Dc</t>
        </is>
      </c>
      <c r="E136" s="2" t="n">
        <v>6</v>
      </c>
      <c r="F136" s="2" t="n">
        <v>1.75</v>
      </c>
      <c r="G136" s="2" t="n">
        <v>0.5</v>
      </c>
      <c r="H136" s="8" t="inlineStr">
        <is>
          <t>Normale</t>
        </is>
      </c>
      <c r="I136" s="2">
        <f>MAX(1,TRUNC(L136*(Impostazioni!$B$2/500)*1*M136*INDEX(Impostazioni!$E$23:$E$29,MATCH(H136,Impostazioni!$D$23:$D$29,0))))</f>
        <v/>
      </c>
      <c r="J136" s="9">
        <f>MAX(1,TRUNC(L136*(Impostazioni!$B$2/500)*INDEX(Motore!$A$5:$H$8,MATCH(C136,Motore!$A$5:$A$8,0),8)*M136*INDEX(Impostazioni!$E$23:$E$29,MATCH(H136,Impostazioni!$D$23:$D$29,0))))</f>
        <v/>
      </c>
      <c r="K136" s="2" t="inlineStr">
        <is>
          <t>Scommessa / Sconosciuto</t>
        </is>
      </c>
      <c r="L136" s="2" t="n">
        <v>1</v>
      </c>
      <c r="M136" s="2" t="n">
        <v>1.05</v>
      </c>
    </row>
    <row r="137">
      <c r="A137" s="2" t="inlineStr">
        <is>
          <t>Kristensen T.</t>
        </is>
      </c>
      <c r="B137" s="2" t="inlineStr">
        <is>
          <t>Atalanta</t>
        </is>
      </c>
      <c r="C137" s="2" t="inlineStr">
        <is>
          <t>D</t>
        </is>
      </c>
      <c r="D137" s="2" t="inlineStr">
        <is>
          <t>Dd/Dc</t>
        </is>
      </c>
      <c r="E137" s="2" t="n">
        <v>6</v>
      </c>
      <c r="F137" s="2" t="n">
        <v>6</v>
      </c>
      <c r="G137" s="2" t="n">
        <v>3.95</v>
      </c>
      <c r="H137" s="8" t="inlineStr">
        <is>
          <t>🔴 Infortunato/Dubbio</t>
        </is>
      </c>
      <c r="I137" s="2">
        <f>MAX(1,TRUNC(L137*(Impostazioni!$B$2/500)*1*M137*INDEX(Impostazioni!$E$23:$E$29,MATCH(H137,Impostazioni!$D$23:$D$29,0))))</f>
        <v/>
      </c>
      <c r="J137" s="9">
        <f>MAX(1,TRUNC(L137*(Impostazioni!$B$2/500)*INDEX(Motore!$A$5:$H$8,MATCH(C137,Motore!$A$5:$A$8,0),8)*M137*INDEX(Impostazioni!$E$23:$E$29,MATCH(H137,Impostazioni!$D$23:$D$29,0))))</f>
        <v/>
      </c>
      <c r="K137" s="2" t="inlineStr">
        <is>
          <t>Scommessa / Sconosciuto</t>
        </is>
      </c>
      <c r="L137" s="2" t="n">
        <v>1</v>
      </c>
      <c r="M137" s="2" t="n">
        <v>1.05</v>
      </c>
    </row>
    <row r="138">
      <c r="A138" s="2" t="inlineStr">
        <is>
          <t>Leysen F.</t>
        </is>
      </c>
      <c r="B138" s="2" t="inlineStr">
        <is>
          <t>Sassuolo</t>
        </is>
      </c>
      <c r="C138" s="2" t="inlineStr">
        <is>
          <t>D</t>
        </is>
      </c>
      <c r="D138" s="2" t="inlineStr">
        <is>
          <t>Ds/Dc</t>
        </is>
      </c>
      <c r="E138" s="2" t="n">
        <v>6</v>
      </c>
      <c r="F138" s="2" t="n">
        <v>1.3</v>
      </c>
      <c r="G138" s="2" t="n">
        <v>1.5</v>
      </c>
      <c r="H138" s="8" t="inlineStr">
        <is>
          <t>🟡 Ballottaggio</t>
        </is>
      </c>
      <c r="I138" s="2">
        <f>MAX(1,TRUNC(L138*(Impostazioni!$B$2/500)*1*M138*INDEX(Impostazioni!$E$23:$E$29,MATCH(H138,Impostazioni!$D$23:$D$29,0))))</f>
        <v/>
      </c>
      <c r="J138" s="9">
        <f>MAX(1,TRUNC(L138*(Impostazioni!$B$2/500)*INDEX(Motore!$A$5:$H$8,MATCH(C138,Motore!$A$5:$A$8,0),8)*M138*INDEX(Impostazioni!$E$23:$E$29,MATCH(H138,Impostazioni!$D$23:$D$29,0))))</f>
        <v/>
      </c>
      <c r="K138" s="2" t="inlineStr">
        <is>
          <t>Scommessa / Sconosciuto</t>
        </is>
      </c>
      <c r="L138" s="2" t="n">
        <v>1</v>
      </c>
      <c r="M138" s="2" t="n">
        <v>1</v>
      </c>
    </row>
    <row r="139">
      <c r="A139" s="2" t="inlineStr">
        <is>
          <t>Marcandalli</t>
        </is>
      </c>
      <c r="B139" s="2" t="inlineStr">
        <is>
          <t>Genoa</t>
        </is>
      </c>
      <c r="C139" s="2" t="inlineStr">
        <is>
          <t>D</t>
        </is>
      </c>
      <c r="D139" s="2" t="inlineStr">
        <is>
          <t>Dc</t>
        </is>
      </c>
      <c r="E139" s="2" t="n">
        <v>6</v>
      </c>
      <c r="F139" s="2" t="n">
        <v>2.4</v>
      </c>
      <c r="G139" s="2" t="n">
        <v>0.6</v>
      </c>
      <c r="H139" s="8" t="inlineStr">
        <is>
          <t>Normale</t>
        </is>
      </c>
      <c r="I139" s="2">
        <f>MAX(1,TRUNC(L139*(Impostazioni!$B$2/500)*1*M139*INDEX(Impostazioni!$E$23:$E$29,MATCH(H139,Impostazioni!$D$23:$D$29,0))))</f>
        <v/>
      </c>
      <c r="J139" s="9">
        <f>MAX(1,TRUNC(L139*(Impostazioni!$B$2/500)*INDEX(Motore!$A$5:$H$8,MATCH(C139,Motore!$A$5:$A$8,0),8)*M139*INDEX(Impostazioni!$E$23:$E$29,MATCH(H139,Impostazioni!$D$23:$D$29,0))))</f>
        <v/>
      </c>
      <c r="K139" s="2" t="inlineStr">
        <is>
          <t>Scommessa / Sconosciuto</t>
        </is>
      </c>
      <c r="L139" s="2" t="n">
        <v>1</v>
      </c>
      <c r="M139" s="2" t="n">
        <v>1</v>
      </c>
    </row>
    <row r="140">
      <c r="A140" s="2" t="inlineStr">
        <is>
          <t>Marusic</t>
        </is>
      </c>
      <c r="B140" s="2" t="inlineStr">
        <is>
          <t>Lazio</t>
        </is>
      </c>
      <c r="C140" s="2" t="inlineStr">
        <is>
          <t>D</t>
        </is>
      </c>
      <c r="D140" s="2" t="inlineStr">
        <is>
          <t>Dd/Ds/E</t>
        </is>
      </c>
      <c r="E140" s="2" t="n">
        <v>6</v>
      </c>
      <c r="F140" s="2" t="n">
        <v>1.9</v>
      </c>
      <c r="G140" s="2" t="n">
        <v>0.5</v>
      </c>
      <c r="H140" s="8" t="inlineStr">
        <is>
          <t>🔴 Infortunato/Dubbio</t>
        </is>
      </c>
      <c r="I140" s="2">
        <f>MAX(1,TRUNC(L140*(Impostazioni!$B$2/500)*1*M140*INDEX(Impostazioni!$E$23:$E$29,MATCH(H140,Impostazioni!$D$23:$D$29,0))))</f>
        <v/>
      </c>
      <c r="J140" s="9">
        <f>MAX(1,TRUNC(L140*(Impostazioni!$B$2/500)*INDEX(Motore!$A$5:$H$8,MATCH(C140,Motore!$A$5:$A$8,0),8)*M140*INDEX(Impostazioni!$E$23:$E$29,MATCH(H140,Impostazioni!$D$23:$D$29,0))))</f>
        <v/>
      </c>
      <c r="K140" s="2" t="inlineStr">
        <is>
          <t>Scommessa / Sconosciuto</t>
        </is>
      </c>
      <c r="L140" s="2" t="n">
        <v>1</v>
      </c>
      <c r="M140" s="2" t="n">
        <v>1</v>
      </c>
    </row>
    <row r="141">
      <c r="A141" s="2" t="inlineStr">
        <is>
          <t>Monterisi</t>
        </is>
      </c>
      <c r="B141" s="2" t="inlineStr">
        <is>
          <t>Frosinone</t>
        </is>
      </c>
      <c r="C141" s="2" t="inlineStr">
        <is>
          <t>D</t>
        </is>
      </c>
      <c r="D141" s="2" t="inlineStr">
        <is>
          <t>Dc</t>
        </is>
      </c>
      <c r="E141" s="2" t="n">
        <v>6</v>
      </c>
      <c r="F141" s="2" t="n">
        <v>1.45</v>
      </c>
      <c r="G141" s="2" t="n">
        <v>0.5</v>
      </c>
      <c r="H141" s="8" t="inlineStr">
        <is>
          <t>Normale</t>
        </is>
      </c>
      <c r="I141" s="2">
        <f>MAX(1,TRUNC(L141*(Impostazioni!$B$2/500)*1*M141*INDEX(Impostazioni!$E$23:$E$29,MATCH(H141,Impostazioni!$D$23:$D$29,0))))</f>
        <v/>
      </c>
      <c r="J141" s="9">
        <f>MAX(1,TRUNC(L141*(Impostazioni!$B$2/500)*INDEX(Motore!$A$5:$H$8,MATCH(C141,Motore!$A$5:$A$8,0),8)*M141*INDEX(Impostazioni!$E$23:$E$29,MATCH(H141,Impostazioni!$D$23:$D$29,0))))</f>
        <v/>
      </c>
      <c r="K141" s="2" t="inlineStr">
        <is>
          <t>Scommessa / Sconosciuto</t>
        </is>
      </c>
      <c r="L141" s="2" t="n">
        <v>1</v>
      </c>
      <c r="M141" s="2" t="n">
        <v>0.85</v>
      </c>
    </row>
    <row r="142">
      <c r="A142" s="2" t="inlineStr">
        <is>
          <t>Obrador</t>
        </is>
      </c>
      <c r="B142" s="2" t="inlineStr">
        <is>
          <t>Sassuolo</t>
        </is>
      </c>
      <c r="C142" s="2" t="inlineStr">
        <is>
          <t>D</t>
        </is>
      </c>
      <c r="D142" s="2" t="inlineStr">
        <is>
          <t>Ds/E</t>
        </is>
      </c>
      <c r="E142" s="2" t="n">
        <v>6</v>
      </c>
      <c r="F142" s="2" t="n">
        <v>1.55</v>
      </c>
      <c r="G142" s="2" t="n">
        <v>1</v>
      </c>
      <c r="H142" s="8" t="inlineStr">
        <is>
          <t>🟡 Ballottaggio</t>
        </is>
      </c>
      <c r="I142" s="2">
        <f>MAX(1,TRUNC(L142*(Impostazioni!$B$2/500)*1*M142*INDEX(Impostazioni!$E$23:$E$29,MATCH(H142,Impostazioni!$D$23:$D$29,0))))</f>
        <v/>
      </c>
      <c r="J142" s="9">
        <f>MAX(1,TRUNC(L142*(Impostazioni!$B$2/500)*INDEX(Motore!$A$5:$H$8,MATCH(C142,Motore!$A$5:$A$8,0),8)*M142*INDEX(Impostazioni!$E$23:$E$29,MATCH(H142,Impostazioni!$D$23:$D$29,0))))</f>
        <v/>
      </c>
      <c r="K142" s="2" t="inlineStr">
        <is>
          <t>Scommessa / Sconosciuto</t>
        </is>
      </c>
      <c r="L142" s="2" t="n">
        <v>1</v>
      </c>
      <c r="M142" s="2" t="n">
        <v>1</v>
      </c>
    </row>
    <row r="143">
      <c r="A143" s="2" t="inlineStr">
        <is>
          <t>Oyono A.</t>
        </is>
      </c>
      <c r="B143" s="2" t="inlineStr">
        <is>
          <t>Frosinone</t>
        </is>
      </c>
      <c r="C143" s="2" t="inlineStr">
        <is>
          <t>D</t>
        </is>
      </c>
      <c r="D143" s="2" t="inlineStr">
        <is>
          <t>Dd/E</t>
        </is>
      </c>
      <c r="E143" s="2" t="n">
        <v>6</v>
      </c>
      <c r="F143" s="2" t="n">
        <v>1.2</v>
      </c>
      <c r="G143" s="2" t="n">
        <v>0.5</v>
      </c>
      <c r="H143" s="8" t="inlineStr">
        <is>
          <t>🟡 Ballottaggio</t>
        </is>
      </c>
      <c r="I143" s="2">
        <f>MAX(1,TRUNC(L143*(Impostazioni!$B$2/500)*1*M143*INDEX(Impostazioni!$E$23:$E$29,MATCH(H143,Impostazioni!$D$23:$D$29,0))))</f>
        <v/>
      </c>
      <c r="J143" s="9">
        <f>MAX(1,TRUNC(L143*(Impostazioni!$B$2/500)*INDEX(Motore!$A$5:$H$8,MATCH(C143,Motore!$A$5:$A$8,0),8)*M143*INDEX(Impostazioni!$E$23:$E$29,MATCH(H143,Impostazioni!$D$23:$D$29,0))))</f>
        <v/>
      </c>
      <c r="K143" s="2" t="inlineStr">
        <is>
          <t>Scommessa / Sconosciuto</t>
        </is>
      </c>
      <c r="L143" s="2" t="n">
        <v>1</v>
      </c>
      <c r="M143" s="2" t="n">
        <v>0.85</v>
      </c>
    </row>
    <row r="144">
      <c r="A144" s="2" t="inlineStr">
        <is>
          <t>Pavard</t>
        </is>
      </c>
      <c r="B144" s="2" t="inlineStr">
        <is>
          <t>Inter</t>
        </is>
      </c>
      <c r="C144" s="2" t="inlineStr">
        <is>
          <t>D</t>
        </is>
      </c>
      <c r="D144" s="2" t="inlineStr">
        <is>
          <t>Dd/Dc</t>
        </is>
      </c>
      <c r="E144" s="2" t="n">
        <v>6</v>
      </c>
      <c r="F144" s="2" t="n">
        <v>2.75</v>
      </c>
      <c r="G144" s="2" t="n">
        <v>0.5</v>
      </c>
      <c r="H144" s="8" t="inlineStr">
        <is>
          <t>🪑 Riserva Fissa (da fasciaFc)</t>
        </is>
      </c>
      <c r="I144" s="2">
        <f>MAX(1,TRUNC(L144*(Impostazioni!$B$2/500)*1*M144*INDEX(Impostazioni!$E$23:$E$29,MATCH(H144,Impostazioni!$D$23:$D$29,0))))</f>
        <v/>
      </c>
      <c r="J144" s="9">
        <f>MAX(1,TRUNC(L144*(Impostazioni!$B$2/500)*INDEX(Motore!$A$5:$H$8,MATCH(C144,Motore!$A$5:$A$8,0),8)*M144*INDEX(Impostazioni!$E$23:$E$29,MATCH(H144,Impostazioni!$D$23:$D$29,0))))</f>
        <v/>
      </c>
      <c r="K144" s="2" t="inlineStr">
        <is>
          <t>Scommessa / Sconosciuto</t>
        </is>
      </c>
      <c r="L144" s="2" t="n">
        <v>1</v>
      </c>
      <c r="M144" s="2" t="n">
        <v>1.18</v>
      </c>
    </row>
    <row r="145">
      <c r="A145" s="2" t="inlineStr">
        <is>
          <t>Pedraza</t>
        </is>
      </c>
      <c r="B145" s="2" t="inlineStr">
        <is>
          <t>Lazio</t>
        </is>
      </c>
      <c r="C145" s="2" t="inlineStr">
        <is>
          <t>D</t>
        </is>
      </c>
      <c r="D145" s="2" t="inlineStr">
        <is>
          <t>Ds/E</t>
        </is>
      </c>
      <c r="E145" s="2" t="n">
        <v>6</v>
      </c>
      <c r="F145" s="2" t="n">
        <v>1.4</v>
      </c>
      <c r="G145" s="2" t="n">
        <v>0.55</v>
      </c>
      <c r="H145" s="8" t="inlineStr">
        <is>
          <t>🟡 Ballottaggio</t>
        </is>
      </c>
      <c r="I145" s="2">
        <f>MAX(1,TRUNC(L145*(Impostazioni!$B$2/500)*1*M145*INDEX(Impostazioni!$E$23:$E$29,MATCH(H145,Impostazioni!$D$23:$D$29,0))))</f>
        <v/>
      </c>
      <c r="J145" s="9">
        <f>MAX(1,TRUNC(L145*(Impostazioni!$B$2/500)*INDEX(Motore!$A$5:$H$8,MATCH(C145,Motore!$A$5:$A$8,0),8)*M145*INDEX(Impostazioni!$E$23:$E$29,MATCH(H145,Impostazioni!$D$23:$D$29,0))))</f>
        <v/>
      </c>
      <c r="K145" s="2" t="inlineStr">
        <is>
          <t>Scommessa / Sconosciuto</t>
        </is>
      </c>
      <c r="L145" s="2" t="n">
        <v>1</v>
      </c>
      <c r="M145" s="2" t="n">
        <v>1</v>
      </c>
    </row>
    <row r="146">
      <c r="A146" s="2" t="inlineStr">
        <is>
          <t>Sugawara</t>
        </is>
      </c>
      <c r="B146" s="2" t="inlineStr">
        <is>
          <t>Cagliari</t>
        </is>
      </c>
      <c r="C146" s="2" t="inlineStr">
        <is>
          <t>D</t>
        </is>
      </c>
      <c r="D146" s="2" t="inlineStr">
        <is>
          <t>Dd/E</t>
        </is>
      </c>
      <c r="E146" s="2" t="n">
        <v>6</v>
      </c>
      <c r="F146" s="2" t="n">
        <v>1.3</v>
      </c>
      <c r="G146" s="2" t="n">
        <v>0.5</v>
      </c>
      <c r="H146" s="8" t="inlineStr">
        <is>
          <t>🪑 Riserva Fissa (da fasciaFc)</t>
        </is>
      </c>
      <c r="I146" s="2">
        <f>MAX(1,TRUNC(L146*(Impostazioni!$B$2/500)*1*M146*INDEX(Impostazioni!$E$23:$E$29,MATCH(H146,Impostazioni!$D$23:$D$29,0))))</f>
        <v/>
      </c>
      <c r="J146" s="9">
        <f>MAX(1,TRUNC(L146*(Impostazioni!$B$2/500)*INDEX(Motore!$A$5:$H$8,MATCH(C146,Motore!$A$5:$A$8,0),8)*M146*INDEX(Impostazioni!$E$23:$E$29,MATCH(H146,Impostazioni!$D$23:$D$29,0))))</f>
        <v/>
      </c>
      <c r="K146" s="2" t="inlineStr">
        <is>
          <t>Scommessa / Sconosciuto</t>
        </is>
      </c>
      <c r="L146" s="2" t="n">
        <v>1</v>
      </c>
      <c r="M146" s="2" t="n">
        <v>1</v>
      </c>
    </row>
    <row r="147">
      <c r="A147" s="2" t="inlineStr">
        <is>
          <t>Tomori</t>
        </is>
      </c>
      <c r="B147" s="2" t="inlineStr">
        <is>
          <t>Milan</t>
        </is>
      </c>
      <c r="C147" s="2" t="inlineStr">
        <is>
          <t>D</t>
        </is>
      </c>
      <c r="D147" s="2" t="inlineStr">
        <is>
          <t>Dc</t>
        </is>
      </c>
      <c r="E147" s="2" t="n">
        <v>6</v>
      </c>
      <c r="F147" s="2" t="n">
        <v>1.05</v>
      </c>
      <c r="G147" s="2" t="n">
        <v>0.5</v>
      </c>
      <c r="H147" s="8" t="inlineStr">
        <is>
          <t>🪑 Riserva Fissa (da fasciaFc)</t>
        </is>
      </c>
      <c r="I147" s="2">
        <f>MAX(1,TRUNC(L147*(Impostazioni!$B$2/500)*1*M147*INDEX(Impostazioni!$E$23:$E$29,MATCH(H147,Impostazioni!$D$23:$D$29,0))))</f>
        <v/>
      </c>
      <c r="J147" s="9">
        <f>MAX(1,TRUNC(L147*(Impostazioni!$B$2/500)*INDEX(Motore!$A$5:$H$8,MATCH(C147,Motore!$A$5:$A$8,0),8)*M147*INDEX(Impostazioni!$E$23:$E$29,MATCH(H147,Impostazioni!$D$23:$D$29,0))))</f>
        <v/>
      </c>
      <c r="K147" s="2" t="inlineStr">
        <is>
          <t>Scommessa / Sconosciuto</t>
        </is>
      </c>
      <c r="L147" s="2" t="n">
        <v>1</v>
      </c>
      <c r="M147" s="2" t="n">
        <v>1.09</v>
      </c>
    </row>
    <row r="148">
      <c r="A148" s="2" t="inlineStr">
        <is>
          <t>Valle</t>
        </is>
      </c>
      <c r="B148" s="2" t="inlineStr">
        <is>
          <t>Como</t>
        </is>
      </c>
      <c r="C148" s="2" t="inlineStr">
        <is>
          <t>D</t>
        </is>
      </c>
      <c r="D148" s="2" t="inlineStr">
        <is>
          <t>Ds/E</t>
        </is>
      </c>
      <c r="E148" s="2" t="n">
        <v>6</v>
      </c>
      <c r="F148" s="2" t="n">
        <v>5.2</v>
      </c>
      <c r="G148" s="2" t="n">
        <v>1.2</v>
      </c>
      <c r="H148" s="8" t="inlineStr">
        <is>
          <t>🟡 Ballottaggio</t>
        </is>
      </c>
      <c r="I148" s="2">
        <f>MAX(1,TRUNC(L148*(Impostazioni!$B$2/500)*1*M148*INDEX(Impostazioni!$E$23:$E$29,MATCH(H148,Impostazioni!$D$23:$D$29,0))))</f>
        <v/>
      </c>
      <c r="J148" s="9">
        <f>MAX(1,TRUNC(L148*(Impostazioni!$B$2/500)*INDEX(Motore!$A$5:$H$8,MATCH(C148,Motore!$A$5:$A$8,0),8)*M148*INDEX(Impostazioni!$E$23:$E$29,MATCH(H148,Impostazioni!$D$23:$D$29,0))))</f>
        <v/>
      </c>
      <c r="K148" s="2" t="inlineStr">
        <is>
          <t>Scommessa / Sconosciuto</t>
        </is>
      </c>
      <c r="L148" s="2" t="n">
        <v>1</v>
      </c>
      <c r="M148" s="2" t="n">
        <v>1.19</v>
      </c>
    </row>
    <row r="149">
      <c r="A149" s="2" t="inlineStr">
        <is>
          <t>Veiga D.</t>
        </is>
      </c>
      <c r="B149" s="2" t="inlineStr">
        <is>
          <t>Lecce</t>
        </is>
      </c>
      <c r="C149" s="2" t="inlineStr">
        <is>
          <t>D</t>
        </is>
      </c>
      <c r="D149" s="2" t="inlineStr">
        <is>
          <t>Dd/E</t>
        </is>
      </c>
      <c r="E149" s="2" t="n">
        <v>6</v>
      </c>
      <c r="F149" s="2" t="n">
        <v>1.3</v>
      </c>
      <c r="G149" s="2" t="n">
        <v>0.5</v>
      </c>
      <c r="H149" s="8" t="inlineStr">
        <is>
          <t>Normale</t>
        </is>
      </c>
      <c r="I149" s="2">
        <f>MAX(1,TRUNC(L149*(Impostazioni!$B$2/500)*1*M149*INDEX(Impostazioni!$E$23:$E$29,MATCH(H149,Impostazioni!$D$23:$D$29,0))))</f>
        <v/>
      </c>
      <c r="J149" s="9">
        <f>MAX(1,TRUNC(L149*(Impostazioni!$B$2/500)*INDEX(Motore!$A$5:$H$8,MATCH(C149,Motore!$A$5:$A$8,0),8)*M149*INDEX(Impostazioni!$E$23:$E$29,MATCH(H149,Impostazioni!$D$23:$D$29,0))))</f>
        <v/>
      </c>
      <c r="K149" s="2" t="inlineStr">
        <is>
          <t>Scommessa / Sconosciuto</t>
        </is>
      </c>
      <c r="L149" s="2" t="n">
        <v>1</v>
      </c>
      <c r="M149" s="2" t="n">
        <v>1</v>
      </c>
    </row>
    <row r="150">
      <c r="A150" s="2" t="inlineStr">
        <is>
          <t>Viery</t>
        </is>
      </c>
      <c r="B150" s="2" t="inlineStr">
        <is>
          <t>Fiorentina</t>
        </is>
      </c>
      <c r="C150" s="2" t="inlineStr">
        <is>
          <t>D</t>
        </is>
      </c>
      <c r="D150" s="2" t="inlineStr">
        <is>
          <t>Ds/Dc</t>
        </is>
      </c>
      <c r="E150" s="2" t="n">
        <v>6</v>
      </c>
      <c r="F150" s="2" t="n">
        <v>1.45</v>
      </c>
      <c r="G150" s="2" t="n">
        <v>2.95</v>
      </c>
      <c r="H150" s="8" t="inlineStr">
        <is>
          <t>Normale</t>
        </is>
      </c>
      <c r="I150" s="2">
        <f>MAX(1,TRUNC(L150*(Impostazioni!$B$2/500)*1*M150*INDEX(Impostazioni!$E$23:$E$29,MATCH(H150,Impostazioni!$D$23:$D$29,0))))</f>
        <v/>
      </c>
      <c r="J150" s="9">
        <f>MAX(1,TRUNC(L150*(Impostazioni!$B$2/500)*INDEX(Motore!$A$5:$H$8,MATCH(C150,Motore!$A$5:$A$8,0),8)*M150*INDEX(Impostazioni!$E$23:$E$29,MATCH(H150,Impostazioni!$D$23:$D$29,0))))</f>
        <v/>
      </c>
      <c r="K150" s="2" t="inlineStr">
        <is>
          <t>Scommessa / Sconosciuto</t>
        </is>
      </c>
      <c r="L150" s="2" t="n">
        <v>1</v>
      </c>
      <c r="M150" s="2" t="n">
        <v>1</v>
      </c>
    </row>
    <row r="151">
      <c r="A151" s="2" t="inlineStr">
        <is>
          <t>Bella-Kotchap</t>
        </is>
      </c>
      <c r="B151" s="2" t="inlineStr">
        <is>
          <t>Venezia</t>
        </is>
      </c>
      <c r="C151" s="2" t="inlineStr">
        <is>
          <t>D</t>
        </is>
      </c>
      <c r="D151" s="2" t="inlineStr">
        <is>
          <t>Dc</t>
        </is>
      </c>
      <c r="E151" s="2" t="n">
        <v>5</v>
      </c>
      <c r="F151" s="2" t="n">
        <v>1.35</v>
      </c>
      <c r="G151" s="2" t="n">
        <v>0.5</v>
      </c>
      <c r="H151" s="8" t="inlineStr">
        <is>
          <t>Normale</t>
        </is>
      </c>
      <c r="I151" s="2">
        <f>MAX(1,TRUNC(L151*(Impostazioni!$B$2/500)*1*M151*INDEX(Impostazioni!$E$23:$E$29,MATCH(H151,Impostazioni!$D$23:$D$29,0))))</f>
        <v/>
      </c>
      <c r="J151" s="9">
        <f>MAX(1,TRUNC(L151*(Impostazioni!$B$2/500)*INDEX(Motore!$A$5:$H$8,MATCH(C151,Motore!$A$5:$A$8,0),8)*M151*INDEX(Impostazioni!$E$23:$E$29,MATCH(H151,Impostazioni!$D$23:$D$29,0))))</f>
        <v/>
      </c>
      <c r="K151" s="2" t="inlineStr">
        <is>
          <t>Scommessa / Sconosciuto</t>
        </is>
      </c>
      <c r="L151" s="2" t="n">
        <v>1</v>
      </c>
      <c r="M151" s="2" t="n">
        <v>0.85</v>
      </c>
    </row>
    <row r="152">
      <c r="A152" s="2" t="inlineStr">
        <is>
          <t>Calvani</t>
        </is>
      </c>
      <c r="B152" s="2" t="inlineStr">
        <is>
          <t>Frosinone</t>
        </is>
      </c>
      <c r="C152" s="2" t="inlineStr">
        <is>
          <t>D</t>
        </is>
      </c>
      <c r="D152" s="2" t="inlineStr">
        <is>
          <t>Dc</t>
        </is>
      </c>
      <c r="E152" s="2" t="n">
        <v>5</v>
      </c>
      <c r="F152" s="2" t="n">
        <v>1.2</v>
      </c>
      <c r="G152" s="2" t="n">
        <v>0.5</v>
      </c>
      <c r="H152" s="8" t="inlineStr">
        <is>
          <t>Normale</t>
        </is>
      </c>
      <c r="I152" s="2">
        <f>MAX(1,TRUNC(L152*(Impostazioni!$B$2/500)*1*M152*INDEX(Impostazioni!$E$23:$E$29,MATCH(H152,Impostazioni!$D$23:$D$29,0))))</f>
        <v/>
      </c>
      <c r="J152" s="9">
        <f>MAX(1,TRUNC(L152*(Impostazioni!$B$2/500)*INDEX(Motore!$A$5:$H$8,MATCH(C152,Motore!$A$5:$A$8,0),8)*M152*INDEX(Impostazioni!$E$23:$E$29,MATCH(H152,Impostazioni!$D$23:$D$29,0))))</f>
        <v/>
      </c>
      <c r="K152" s="2" t="inlineStr">
        <is>
          <t>Scommessa / Sconosciuto</t>
        </is>
      </c>
      <c r="L152" s="2" t="n">
        <v>1</v>
      </c>
      <c r="M152" s="2" t="n">
        <v>0.85</v>
      </c>
    </row>
    <row r="153">
      <c r="A153" s="2" t="inlineStr">
        <is>
          <t>Correia T.</t>
        </is>
      </c>
      <c r="B153" s="2" t="inlineStr">
        <is>
          <t>Venezia</t>
        </is>
      </c>
      <c r="C153" s="2" t="inlineStr">
        <is>
          <t>D</t>
        </is>
      </c>
      <c r="D153" s="2" t="inlineStr">
        <is>
          <t>Dd/Ds/E</t>
        </is>
      </c>
      <c r="E153" s="2" t="n">
        <v>5</v>
      </c>
      <c r="F153" s="2" t="n">
        <v>1.3</v>
      </c>
      <c r="G153" s="2" t="n">
        <v>0.5</v>
      </c>
      <c r="H153" s="8" t="inlineStr">
        <is>
          <t>Normale</t>
        </is>
      </c>
      <c r="I153" s="2">
        <f>MAX(1,TRUNC(L153*(Impostazioni!$B$2/500)*1*M153*INDEX(Impostazioni!$E$23:$E$29,MATCH(H153,Impostazioni!$D$23:$D$29,0))))</f>
        <v/>
      </c>
      <c r="J153" s="9">
        <f>MAX(1,TRUNC(L153*(Impostazioni!$B$2/500)*INDEX(Motore!$A$5:$H$8,MATCH(C153,Motore!$A$5:$A$8,0),8)*M153*INDEX(Impostazioni!$E$23:$E$29,MATCH(H153,Impostazioni!$D$23:$D$29,0))))</f>
        <v/>
      </c>
      <c r="K153" s="2" t="inlineStr">
        <is>
          <t>Scommessa / Sconosciuto</t>
        </is>
      </c>
      <c r="L153" s="2" t="n">
        <v>1</v>
      </c>
      <c r="M153" s="2" t="n">
        <v>0.85</v>
      </c>
    </row>
    <row r="154">
      <c r="A154" s="2" t="inlineStr">
        <is>
          <t>De Winter</t>
        </is>
      </c>
      <c r="B154" s="2" t="inlineStr">
        <is>
          <t>Milan</t>
        </is>
      </c>
      <c r="C154" s="2" t="inlineStr">
        <is>
          <t>D</t>
        </is>
      </c>
      <c r="D154" s="2" t="inlineStr">
        <is>
          <t>Dd/Dc</t>
        </is>
      </c>
      <c r="E154" s="2" t="n">
        <v>5</v>
      </c>
      <c r="F154" s="2" t="n">
        <v>4.25</v>
      </c>
      <c r="G154" s="2" t="n">
        <v>0.5</v>
      </c>
      <c r="H154" s="8" t="inlineStr">
        <is>
          <t>🟡 Ballottaggio</t>
        </is>
      </c>
      <c r="I154" s="2">
        <f>MAX(1,TRUNC(L154*(Impostazioni!$B$2/500)*1*M154*INDEX(Impostazioni!$E$23:$E$29,MATCH(H154,Impostazioni!$D$23:$D$29,0))))</f>
        <v/>
      </c>
      <c r="J154" s="9">
        <f>MAX(1,TRUNC(L154*(Impostazioni!$B$2/500)*INDEX(Motore!$A$5:$H$8,MATCH(C154,Motore!$A$5:$A$8,0),8)*M154*INDEX(Impostazioni!$E$23:$E$29,MATCH(H154,Impostazioni!$D$23:$D$29,0))))</f>
        <v/>
      </c>
      <c r="K154" s="2" t="inlineStr">
        <is>
          <t>Scommessa / Sconosciuto</t>
        </is>
      </c>
      <c r="L154" s="2" t="n">
        <v>1</v>
      </c>
      <c r="M154" s="2" t="n">
        <v>1.09</v>
      </c>
    </row>
    <row r="155">
      <c r="A155" s="2" t="inlineStr">
        <is>
          <t>Doig</t>
        </is>
      </c>
      <c r="B155" s="2" t="inlineStr">
        <is>
          <t>Sassuolo</t>
        </is>
      </c>
      <c r="C155" s="2" t="inlineStr">
        <is>
          <t>D</t>
        </is>
      </c>
      <c r="D155" s="2" t="inlineStr">
        <is>
          <t>Ds/E</t>
        </is>
      </c>
      <c r="E155" s="2" t="n">
        <v>5</v>
      </c>
      <c r="F155" s="2" t="n">
        <v>1.35</v>
      </c>
      <c r="G155" s="2" t="n">
        <v>0.5</v>
      </c>
      <c r="H155" s="8" t="inlineStr">
        <is>
          <t>🟡 Ballottaggio</t>
        </is>
      </c>
      <c r="I155" s="2">
        <f>MAX(1,TRUNC(L155*(Impostazioni!$B$2/500)*1*M155*INDEX(Impostazioni!$E$23:$E$29,MATCH(H155,Impostazioni!$D$23:$D$29,0))))</f>
        <v/>
      </c>
      <c r="J155" s="9">
        <f>MAX(1,TRUNC(L155*(Impostazioni!$B$2/500)*INDEX(Motore!$A$5:$H$8,MATCH(C155,Motore!$A$5:$A$8,0),8)*M155*INDEX(Impostazioni!$E$23:$E$29,MATCH(H155,Impostazioni!$D$23:$D$29,0))))</f>
        <v/>
      </c>
      <c r="K155" s="2" t="inlineStr">
        <is>
          <t>Scommessa / Sconosciuto</t>
        </is>
      </c>
      <c r="L155" s="2" t="n">
        <v>1</v>
      </c>
      <c r="M155" s="2" t="n">
        <v>1</v>
      </c>
    </row>
    <row r="156">
      <c r="A156" s="2" t="inlineStr">
        <is>
          <t>Gaspar K.</t>
        </is>
      </c>
      <c r="B156" s="2" t="inlineStr">
        <is>
          <t>Lecce</t>
        </is>
      </c>
      <c r="C156" s="2" t="inlineStr">
        <is>
          <t>D</t>
        </is>
      </c>
      <c r="D156" s="2" t="inlineStr">
        <is>
          <t>Dc</t>
        </is>
      </c>
      <c r="E156" s="2" t="n">
        <v>5</v>
      </c>
      <c r="F156" s="2" t="n">
        <v>1.5</v>
      </c>
      <c r="G156" s="2" t="n">
        <v>0.5</v>
      </c>
      <c r="H156" s="8" t="inlineStr">
        <is>
          <t>Normale</t>
        </is>
      </c>
      <c r="I156" s="2">
        <f>MAX(1,TRUNC(L156*(Impostazioni!$B$2/500)*1*M156*INDEX(Impostazioni!$E$23:$E$29,MATCH(H156,Impostazioni!$D$23:$D$29,0))))</f>
        <v/>
      </c>
      <c r="J156" s="9">
        <f>MAX(1,TRUNC(L156*(Impostazioni!$B$2/500)*INDEX(Motore!$A$5:$H$8,MATCH(C156,Motore!$A$5:$A$8,0),8)*M156*INDEX(Impostazioni!$E$23:$E$29,MATCH(H156,Impostazioni!$D$23:$D$29,0))))</f>
        <v/>
      </c>
      <c r="K156" s="2" t="inlineStr">
        <is>
          <t>Scommessa / Sconosciuto</t>
        </is>
      </c>
      <c r="L156" s="2" t="n">
        <v>1</v>
      </c>
      <c r="M156" s="2" t="n">
        <v>1</v>
      </c>
    </row>
    <row r="157">
      <c r="A157" s="2" t="inlineStr">
        <is>
          <t>Ghilardi</t>
        </is>
      </c>
      <c r="B157" s="2" t="inlineStr">
        <is>
          <t>Roma</t>
        </is>
      </c>
      <c r="C157" s="2" t="inlineStr">
        <is>
          <t>D</t>
        </is>
      </c>
      <c r="D157" s="2" t="inlineStr">
        <is>
          <t>Dc</t>
        </is>
      </c>
      <c r="E157" s="2" t="n">
        <v>5</v>
      </c>
      <c r="F157" s="2" t="n">
        <v>1.3</v>
      </c>
      <c r="G157" s="2" t="n">
        <v>0.5</v>
      </c>
      <c r="H157" s="8" t="inlineStr">
        <is>
          <t>🪑 Riserva Fissa (da fasciaFc)</t>
        </is>
      </c>
      <c r="I157" s="2">
        <f>MAX(1,TRUNC(L157*(Impostazioni!$B$2/500)*1*M157*INDEX(Impostazioni!$E$23:$E$29,MATCH(H157,Impostazioni!$D$23:$D$29,0))))</f>
        <v/>
      </c>
      <c r="J157" s="9">
        <f>MAX(1,TRUNC(L157*(Impostazioni!$B$2/500)*INDEX(Motore!$A$5:$H$8,MATCH(C157,Motore!$A$5:$A$8,0),8)*M157*INDEX(Impostazioni!$E$23:$E$29,MATCH(H157,Impostazioni!$D$23:$D$29,0))))</f>
        <v/>
      </c>
      <c r="K157" s="2" t="inlineStr">
        <is>
          <t>Scommessa / Sconosciuto</t>
        </is>
      </c>
      <c r="L157" s="2" t="n">
        <v>1</v>
      </c>
      <c r="M157" s="2" t="n">
        <v>1.16</v>
      </c>
    </row>
    <row r="158">
      <c r="A158" s="2" t="inlineStr">
        <is>
          <t>Haps</t>
        </is>
      </c>
      <c r="B158" s="2" t="inlineStr">
        <is>
          <t>Venezia</t>
        </is>
      </c>
      <c r="C158" s="2" t="inlineStr">
        <is>
          <t>D</t>
        </is>
      </c>
      <c r="D158" s="2" t="inlineStr">
        <is>
          <t>Ds/E</t>
        </is>
      </c>
      <c r="E158" s="2" t="n">
        <v>5</v>
      </c>
      <c r="F158" s="2" t="n">
        <v>1.2</v>
      </c>
      <c r="G158" s="2" t="n">
        <v>0.5</v>
      </c>
      <c r="H158" s="8" t="inlineStr">
        <is>
          <t>Normale</t>
        </is>
      </c>
      <c r="I158" s="2">
        <f>MAX(1,TRUNC(L158*(Impostazioni!$B$2/500)*1*M158*INDEX(Impostazioni!$E$23:$E$29,MATCH(H158,Impostazioni!$D$23:$D$29,0))))</f>
        <v/>
      </c>
      <c r="J158" s="9">
        <f>MAX(1,TRUNC(L158*(Impostazioni!$B$2/500)*INDEX(Motore!$A$5:$H$8,MATCH(C158,Motore!$A$5:$A$8,0),8)*M158*INDEX(Impostazioni!$E$23:$E$29,MATCH(H158,Impostazioni!$D$23:$D$29,0))))</f>
        <v/>
      </c>
      <c r="K158" s="2" t="inlineStr">
        <is>
          <t>Scommessa / Sconosciuto</t>
        </is>
      </c>
      <c r="L158" s="2" t="n">
        <v>1</v>
      </c>
      <c r="M158" s="2" t="n">
        <v>0.85</v>
      </c>
    </row>
    <row r="159">
      <c r="A159" s="2" t="inlineStr">
        <is>
          <t>Kelly L.</t>
        </is>
      </c>
      <c r="B159" s="2" t="inlineStr">
        <is>
          <t>Juventus</t>
        </is>
      </c>
      <c r="C159" s="2" t="inlineStr">
        <is>
          <t>D</t>
        </is>
      </c>
      <c r="D159" s="2" t="inlineStr">
        <is>
          <t>Ds/Dc</t>
        </is>
      </c>
      <c r="E159" s="2" t="n">
        <v>5</v>
      </c>
      <c r="F159" s="2" t="n">
        <v>2.5</v>
      </c>
      <c r="G159" s="2" t="n">
        <v>0.5</v>
      </c>
      <c r="H159" s="8" t="inlineStr">
        <is>
          <t>Normale</t>
        </is>
      </c>
      <c r="I159" s="2">
        <f>MAX(1,TRUNC(L159*(Impostazioni!$B$2/500)*1*M159*INDEX(Impostazioni!$E$23:$E$29,MATCH(H159,Impostazioni!$D$23:$D$29,0))))</f>
        <v/>
      </c>
      <c r="J159" s="9">
        <f>MAX(1,TRUNC(L159*(Impostazioni!$B$2/500)*INDEX(Motore!$A$5:$H$8,MATCH(C159,Motore!$A$5:$A$8,0),8)*M159*INDEX(Impostazioni!$E$23:$E$29,MATCH(H159,Impostazioni!$D$23:$D$29,0))))</f>
        <v/>
      </c>
      <c r="K159" s="2" t="inlineStr">
        <is>
          <t>Scommessa / Sconosciuto</t>
        </is>
      </c>
      <c r="L159" s="2" t="n">
        <v>1</v>
      </c>
      <c r="M159" s="2" t="n">
        <v>1.12</v>
      </c>
    </row>
    <row r="160">
      <c r="A160" s="2" t="inlineStr">
        <is>
          <t>Kempf</t>
        </is>
      </c>
      <c r="B160" s="2" t="inlineStr">
        <is>
          <t>Como</t>
        </is>
      </c>
      <c r="C160" s="2" t="inlineStr">
        <is>
          <t>D</t>
        </is>
      </c>
      <c r="D160" s="2" t="inlineStr">
        <is>
          <t>Dc</t>
        </is>
      </c>
      <c r="E160" s="2" t="n">
        <v>5</v>
      </c>
      <c r="F160" s="2" t="n">
        <v>2</v>
      </c>
      <c r="G160" s="2" t="n">
        <v>0.5</v>
      </c>
      <c r="H160" s="8" t="inlineStr">
        <is>
          <t>Normale</t>
        </is>
      </c>
      <c r="I160" s="2">
        <f>MAX(1,TRUNC(L160*(Impostazioni!$B$2/500)*1*M160*INDEX(Impostazioni!$E$23:$E$29,MATCH(H160,Impostazioni!$D$23:$D$29,0))))</f>
        <v/>
      </c>
      <c r="J160" s="9">
        <f>MAX(1,TRUNC(L160*(Impostazioni!$B$2/500)*INDEX(Motore!$A$5:$H$8,MATCH(C160,Motore!$A$5:$A$8,0),8)*M160*INDEX(Impostazioni!$E$23:$E$29,MATCH(H160,Impostazioni!$D$23:$D$29,0))))</f>
        <v/>
      </c>
      <c r="K160" s="2" t="inlineStr">
        <is>
          <t>Scommessa / Sconosciuto</t>
        </is>
      </c>
      <c r="L160" s="2" t="n">
        <v>1</v>
      </c>
      <c r="M160" s="2" t="n">
        <v>1.19</v>
      </c>
    </row>
    <row r="161">
      <c r="A161" s="2" t="inlineStr">
        <is>
          <t>Kofler</t>
        </is>
      </c>
      <c r="B161" s="2" t="inlineStr">
        <is>
          <t>Cagliari</t>
        </is>
      </c>
      <c r="C161" s="2" t="inlineStr">
        <is>
          <t>D</t>
        </is>
      </c>
      <c r="D161" s="2" t="inlineStr">
        <is>
          <t>Dc</t>
        </is>
      </c>
      <c r="E161" s="2" t="n">
        <v>5</v>
      </c>
      <c r="F161" s="2" t="n">
        <v>0.75</v>
      </c>
      <c r="G161" s="2" t="n">
        <v>0.5</v>
      </c>
      <c r="H161" s="8" t="inlineStr">
        <is>
          <t>🪑 Riserva Fissa (da fasciaFc)</t>
        </is>
      </c>
      <c r="I161" s="2">
        <f>MAX(1,TRUNC(L161*(Impostazioni!$B$2/500)*1*M161*INDEX(Impostazioni!$E$23:$E$29,MATCH(H161,Impostazioni!$D$23:$D$29,0))))</f>
        <v/>
      </c>
      <c r="J161" s="9">
        <f>MAX(1,TRUNC(L161*(Impostazioni!$B$2/500)*INDEX(Motore!$A$5:$H$8,MATCH(C161,Motore!$A$5:$A$8,0),8)*M161*INDEX(Impostazioni!$E$23:$E$29,MATCH(H161,Impostazioni!$D$23:$D$29,0))))</f>
        <v/>
      </c>
      <c r="K161" s="2" t="inlineStr">
        <is>
          <t>Scommessa / Sconosciuto</t>
        </is>
      </c>
      <c r="L161" s="2" t="n">
        <v>1</v>
      </c>
      <c r="M161" s="2" t="n">
        <v>1</v>
      </c>
    </row>
    <row r="162">
      <c r="A162" s="2" t="inlineStr">
        <is>
          <t>Olivera</t>
        </is>
      </c>
      <c r="B162" s="2" t="inlineStr">
        <is>
          <t>Napoli</t>
        </is>
      </c>
      <c r="C162" s="2" t="inlineStr">
        <is>
          <t>D</t>
        </is>
      </c>
      <c r="D162" s="2" t="inlineStr">
        <is>
          <t>B/Ds/E</t>
        </is>
      </c>
      <c r="E162" s="2" t="n">
        <v>5</v>
      </c>
      <c r="F162" s="2" t="n">
        <v>1.85</v>
      </c>
      <c r="G162" s="2" t="n">
        <v>0.5</v>
      </c>
      <c r="H162" s="8" t="inlineStr">
        <is>
          <t>🪑 Riserva Fissa (da fasciaFc)</t>
        </is>
      </c>
      <c r="I162" s="2">
        <f>MAX(1,TRUNC(L162*(Impostazioni!$B$2/500)*1*M162*INDEX(Impostazioni!$E$23:$E$29,MATCH(H162,Impostazioni!$D$23:$D$29,0))))</f>
        <v/>
      </c>
      <c r="J162" s="9">
        <f>MAX(1,TRUNC(L162*(Impostazioni!$B$2/500)*INDEX(Motore!$A$5:$H$8,MATCH(C162,Motore!$A$5:$A$8,0),8)*M162*INDEX(Impostazioni!$E$23:$E$29,MATCH(H162,Impostazioni!$D$23:$D$29,0))))</f>
        <v/>
      </c>
      <c r="K162" s="2" t="inlineStr">
        <is>
          <t>Scommessa / Sconosciuto</t>
        </is>
      </c>
      <c r="L162" s="2" t="n">
        <v>1</v>
      </c>
      <c r="M162" s="2" t="n">
        <v>1.11</v>
      </c>
    </row>
    <row r="163">
      <c r="A163" s="2" t="inlineStr">
        <is>
          <t>Patterson</t>
        </is>
      </c>
      <c r="B163" s="2" t="inlineStr">
        <is>
          <t>Torino</t>
        </is>
      </c>
      <c r="C163" s="2" t="inlineStr">
        <is>
          <t>D</t>
        </is>
      </c>
      <c r="D163" s="2" t="inlineStr">
        <is>
          <t>Dd/E</t>
        </is>
      </c>
      <c r="E163" s="2" t="n">
        <v>5</v>
      </c>
      <c r="F163" s="2" t="n">
        <v>1</v>
      </c>
      <c r="G163" s="2" t="n">
        <v>0.5</v>
      </c>
      <c r="H163" s="8" t="inlineStr">
        <is>
          <t>🪑 Riserva Fissa (da fasciaFc)</t>
        </is>
      </c>
      <c r="I163" s="2">
        <f>MAX(1,TRUNC(L163*(Impostazioni!$B$2/500)*1*M163*INDEX(Impostazioni!$E$23:$E$29,MATCH(H163,Impostazioni!$D$23:$D$29,0))))</f>
        <v/>
      </c>
      <c r="J163" s="9">
        <f>MAX(1,TRUNC(L163*(Impostazioni!$B$2/500)*INDEX(Motore!$A$5:$H$8,MATCH(C163,Motore!$A$5:$A$8,0),8)*M163*INDEX(Impostazioni!$E$23:$E$29,MATCH(H163,Impostazioni!$D$23:$D$29,0))))</f>
        <v/>
      </c>
      <c r="K163" s="2" t="inlineStr">
        <is>
          <t>Scommessa / Sconosciuto</t>
        </is>
      </c>
      <c r="L163" s="2" t="n">
        <v>1</v>
      </c>
      <c r="M163" s="2" t="n">
        <v>1</v>
      </c>
    </row>
    <row r="164">
      <c r="A164" s="2" t="inlineStr">
        <is>
          <t>Rodriguez R.</t>
        </is>
      </c>
      <c r="B164" s="2" t="inlineStr">
        <is>
          <t>Torino</t>
        </is>
      </c>
      <c r="C164" s="2" t="inlineStr">
        <is>
          <t>D</t>
        </is>
      </c>
      <c r="D164" s="2" t="inlineStr">
        <is>
          <t>B/Ds/E</t>
        </is>
      </c>
      <c r="E164" s="2" t="n">
        <v>5</v>
      </c>
      <c r="F164" s="2" t="n">
        <v>1.1</v>
      </c>
      <c r="G164" s="2" t="n">
        <v>0.5</v>
      </c>
      <c r="H164" s="8" t="inlineStr">
        <is>
          <t>Normale</t>
        </is>
      </c>
      <c r="I164" s="2">
        <f>MAX(1,TRUNC(L164*(Impostazioni!$B$2/500)*1*M164*INDEX(Impostazioni!$E$23:$E$29,MATCH(H164,Impostazioni!$D$23:$D$29,0))))</f>
        <v/>
      </c>
      <c r="J164" s="9">
        <f>MAX(1,TRUNC(L164*(Impostazioni!$B$2/500)*INDEX(Motore!$A$5:$H$8,MATCH(C164,Motore!$A$5:$A$8,0),8)*M164*INDEX(Impostazioni!$E$23:$E$29,MATCH(H164,Impostazioni!$D$23:$D$29,0))))</f>
        <v/>
      </c>
      <c r="K164" s="2" t="inlineStr">
        <is>
          <t>Scommessa / Sconosciuto</t>
        </is>
      </c>
      <c r="L164" s="2" t="n">
        <v>1</v>
      </c>
      <c r="M164" s="2" t="n">
        <v>1</v>
      </c>
    </row>
    <row r="165">
      <c r="A165" s="2" t="inlineStr">
        <is>
          <t>Valdepenas</t>
        </is>
      </c>
      <c r="B165" s="2" t="inlineStr">
        <is>
          <t>Fiorentina</t>
        </is>
      </c>
      <c r="C165" s="2" t="inlineStr">
        <is>
          <t>D</t>
        </is>
      </c>
      <c r="D165" s="2" t="inlineStr">
        <is>
          <t>Ds/Dc</t>
        </is>
      </c>
      <c r="E165" s="2" t="n">
        <v>5</v>
      </c>
      <c r="F165" s="2" t="n">
        <v>6.95</v>
      </c>
      <c r="G165" s="2" t="n">
        <v>3.8</v>
      </c>
      <c r="H165" s="8" t="inlineStr">
        <is>
          <t>Normale</t>
        </is>
      </c>
      <c r="I165" s="2">
        <f>MAX(1,TRUNC(L165*(Impostazioni!$B$2/500)*1*M165*INDEX(Impostazioni!$E$23:$E$29,MATCH(H165,Impostazioni!$D$23:$D$29,0))))</f>
        <v/>
      </c>
      <c r="J165" s="9">
        <f>MAX(1,TRUNC(L165*(Impostazioni!$B$2/500)*INDEX(Motore!$A$5:$H$8,MATCH(C165,Motore!$A$5:$A$8,0),8)*M165*INDEX(Impostazioni!$E$23:$E$29,MATCH(H165,Impostazioni!$D$23:$D$29,0))))</f>
        <v/>
      </c>
      <c r="K165" s="2" t="inlineStr">
        <is>
          <t>Scommessa / Sconosciuto</t>
        </is>
      </c>
      <c r="L165" s="2" t="n">
        <v>1</v>
      </c>
      <c r="M165" s="2" t="n">
        <v>1</v>
      </c>
    </row>
    <row r="166">
      <c r="A166" s="2" t="inlineStr">
        <is>
          <t>Zè Pedro</t>
        </is>
      </c>
      <c r="B166" s="2" t="inlineStr">
        <is>
          <t>Cagliari</t>
        </is>
      </c>
      <c r="C166" s="2" t="inlineStr">
        <is>
          <t>D</t>
        </is>
      </c>
      <c r="D166" s="2" t="inlineStr">
        <is>
          <t>Dd/Dc</t>
        </is>
      </c>
      <c r="E166" s="2" t="n">
        <v>5</v>
      </c>
      <c r="F166" s="2" t="n">
        <v>1.55</v>
      </c>
      <c r="G166" s="2" t="n">
        <v>0.5</v>
      </c>
      <c r="H166" s="8" t="inlineStr">
        <is>
          <t>Normale</t>
        </is>
      </c>
      <c r="I166" s="2">
        <f>MAX(1,TRUNC(L166*(Impostazioni!$B$2/500)*1*M166*INDEX(Impostazioni!$E$23:$E$29,MATCH(H166,Impostazioni!$D$23:$D$29,0))))</f>
        <v/>
      </c>
      <c r="J166" s="9">
        <f>MAX(1,TRUNC(L166*(Impostazioni!$B$2/500)*INDEX(Motore!$A$5:$H$8,MATCH(C166,Motore!$A$5:$A$8,0),8)*M166*INDEX(Impostazioni!$E$23:$E$29,MATCH(H166,Impostazioni!$D$23:$D$29,0))))</f>
        <v/>
      </c>
      <c r="K166" s="2" t="inlineStr">
        <is>
          <t>Scommessa / Sconosciuto</t>
        </is>
      </c>
      <c r="L166" s="2" t="n">
        <v>1</v>
      </c>
      <c r="M166" s="2" t="n">
        <v>1</v>
      </c>
    </row>
    <row r="167">
      <c r="A167" s="2" t="inlineStr">
        <is>
          <t>Arizala</t>
        </is>
      </c>
      <c r="B167" s="2" t="inlineStr">
        <is>
          <t>Udinese</t>
        </is>
      </c>
      <c r="C167" s="2" t="inlineStr">
        <is>
          <t>D</t>
        </is>
      </c>
      <c r="D167" s="2" t="inlineStr">
        <is>
          <t>Ds;E</t>
        </is>
      </c>
      <c r="E167" s="2" t="n">
        <v>4</v>
      </c>
      <c r="F167" s="2" t="n">
        <v>0.5</v>
      </c>
      <c r="G167" s="2" t="n">
        <v>0.5</v>
      </c>
      <c r="H167" s="8" t="inlineStr">
        <is>
          <t>🪑 Riserva Fissa (da fasciaFc)</t>
        </is>
      </c>
      <c r="I167" s="2">
        <f>MAX(1,TRUNC(L167*(Impostazioni!$B$2/500)*1*M167*INDEX(Impostazioni!$E$23:$E$29,MATCH(H167,Impostazioni!$D$23:$D$29,0))))</f>
        <v/>
      </c>
      <c r="J167" s="9">
        <f>MAX(1,TRUNC(L167*(Impostazioni!$B$2/500)*INDEX(Motore!$A$5:$H$8,MATCH(C167,Motore!$A$5:$A$8,0),8)*M167*INDEX(Impostazioni!$E$23:$E$29,MATCH(H167,Impostazioni!$D$23:$D$29,0))))</f>
        <v/>
      </c>
      <c r="K167" s="2" t="inlineStr">
        <is>
          <t>Scommessa / Sconosciuto</t>
        </is>
      </c>
      <c r="L167" s="2" t="n">
        <v>1</v>
      </c>
      <c r="M167" s="2" t="n">
        <v>1</v>
      </c>
    </row>
    <row r="168">
      <c r="A168" s="2" t="inlineStr">
        <is>
          <t>Bertola</t>
        </is>
      </c>
      <c r="B168" s="2" t="inlineStr">
        <is>
          <t>Udinese</t>
        </is>
      </c>
      <c r="C168" s="2" t="inlineStr">
        <is>
          <t>D</t>
        </is>
      </c>
      <c r="D168" s="2" t="inlineStr">
        <is>
          <t>Dd/Ds/Dc</t>
        </is>
      </c>
      <c r="E168" s="2" t="n">
        <v>4</v>
      </c>
      <c r="F168" s="2" t="n">
        <v>1.65</v>
      </c>
      <c r="G168" s="2" t="n">
        <v>0.5</v>
      </c>
      <c r="H168" s="8" t="inlineStr">
        <is>
          <t>🟡 Ballottaggio</t>
        </is>
      </c>
      <c r="I168" s="2">
        <f>MAX(1,TRUNC(L168*(Impostazioni!$B$2/500)*1*M168*INDEX(Impostazioni!$E$23:$E$29,MATCH(H168,Impostazioni!$D$23:$D$29,0))))</f>
        <v/>
      </c>
      <c r="J168" s="9">
        <f>MAX(1,TRUNC(L168*(Impostazioni!$B$2/500)*INDEX(Motore!$A$5:$H$8,MATCH(C168,Motore!$A$5:$A$8,0),8)*M168*INDEX(Impostazioni!$E$23:$E$29,MATCH(H168,Impostazioni!$D$23:$D$29,0))))</f>
        <v/>
      </c>
      <c r="K168" s="2" t="inlineStr">
        <is>
          <t>Scommessa / Sconosciuto</t>
        </is>
      </c>
      <c r="L168" s="2" t="n">
        <v>1</v>
      </c>
      <c r="M168" s="2" t="n">
        <v>1</v>
      </c>
    </row>
    <row r="169">
      <c r="A169" s="2" t="inlineStr">
        <is>
          <t>Birindelli</t>
        </is>
      </c>
      <c r="B169" s="2" t="inlineStr">
        <is>
          <t>Monza</t>
        </is>
      </c>
      <c r="C169" s="2" t="inlineStr">
        <is>
          <t>D</t>
        </is>
      </c>
      <c r="D169" s="2" t="inlineStr">
        <is>
          <t>Dd/Ds/E</t>
        </is>
      </c>
      <c r="E169" s="2" t="n">
        <v>4</v>
      </c>
      <c r="F169" s="2" t="n">
        <v>2.1</v>
      </c>
      <c r="G169" s="2" t="n">
        <v>0.5</v>
      </c>
      <c r="H169" s="8" t="inlineStr">
        <is>
          <t>Normale</t>
        </is>
      </c>
      <c r="I169" s="2">
        <f>MAX(1,TRUNC(L169*(Impostazioni!$B$2/500)*1*M169*INDEX(Impostazioni!$E$23:$E$29,MATCH(H169,Impostazioni!$D$23:$D$29,0))))</f>
        <v/>
      </c>
      <c r="J169" s="9">
        <f>MAX(1,TRUNC(L169*(Impostazioni!$B$2/500)*INDEX(Motore!$A$5:$H$8,MATCH(C169,Motore!$A$5:$A$8,0),8)*M169*INDEX(Impostazioni!$E$23:$E$29,MATCH(H169,Impostazioni!$D$23:$D$29,0))))</f>
        <v/>
      </c>
      <c r="K169" s="2" t="inlineStr">
        <is>
          <t>Scommessa / Sconosciuto</t>
        </is>
      </c>
      <c r="L169" s="2" t="n">
        <v>1</v>
      </c>
      <c r="M169" s="2" t="n">
        <v>0.85</v>
      </c>
    </row>
    <row r="170">
      <c r="A170" s="2" t="inlineStr">
        <is>
          <t>Cittadini</t>
        </is>
      </c>
      <c r="B170" s="2" t="inlineStr">
        <is>
          <t>Frosinone</t>
        </is>
      </c>
      <c r="C170" s="2" t="inlineStr">
        <is>
          <t>D</t>
        </is>
      </c>
      <c r="D170" s="2" t="inlineStr">
        <is>
          <t>Dc</t>
        </is>
      </c>
      <c r="E170" s="2" t="n">
        <v>4</v>
      </c>
      <c r="F170" s="2" t="n">
        <v>1.15</v>
      </c>
      <c r="G170" s="2" t="n">
        <v>0.5</v>
      </c>
      <c r="H170" s="8" t="inlineStr">
        <is>
          <t>🟡 Ballottaggio</t>
        </is>
      </c>
      <c r="I170" s="2">
        <f>MAX(1,TRUNC(L170*(Impostazioni!$B$2/500)*1*M170*INDEX(Impostazioni!$E$23:$E$29,MATCH(H170,Impostazioni!$D$23:$D$29,0))))</f>
        <v/>
      </c>
      <c r="J170" s="9">
        <f>MAX(1,TRUNC(L170*(Impostazioni!$B$2/500)*INDEX(Motore!$A$5:$H$8,MATCH(C170,Motore!$A$5:$A$8,0),8)*M170*INDEX(Impostazioni!$E$23:$E$29,MATCH(H170,Impostazioni!$D$23:$D$29,0))))</f>
        <v/>
      </c>
      <c r="K170" s="2" t="inlineStr">
        <is>
          <t>Scommessa / Sconosciuto</t>
        </is>
      </c>
      <c r="L170" s="2" t="n">
        <v>1</v>
      </c>
      <c r="M170" s="2" t="n">
        <v>0.85</v>
      </c>
    </row>
    <row r="171">
      <c r="A171" s="2" t="inlineStr">
        <is>
          <t>Comert</t>
        </is>
      </c>
      <c r="B171" s="2" t="inlineStr">
        <is>
          <t>Torino</t>
        </is>
      </c>
      <c r="C171" s="2" t="inlineStr">
        <is>
          <t>D</t>
        </is>
      </c>
      <c r="D171" s="2" t="inlineStr">
        <is>
          <t>Dc</t>
        </is>
      </c>
      <c r="E171" s="2" t="n">
        <v>4</v>
      </c>
      <c r="F171" s="2" t="n">
        <v>1.05</v>
      </c>
      <c r="G171" s="2" t="n">
        <v>0.5</v>
      </c>
      <c r="H171" s="8" t="inlineStr">
        <is>
          <t>Normale</t>
        </is>
      </c>
      <c r="I171" s="2">
        <f>MAX(1,TRUNC(L171*(Impostazioni!$B$2/500)*1*M171*INDEX(Impostazioni!$E$23:$E$29,MATCH(H171,Impostazioni!$D$23:$D$29,0))))</f>
        <v/>
      </c>
      <c r="J171" s="9">
        <f>MAX(1,TRUNC(L171*(Impostazioni!$B$2/500)*INDEX(Motore!$A$5:$H$8,MATCH(C171,Motore!$A$5:$A$8,0),8)*M171*INDEX(Impostazioni!$E$23:$E$29,MATCH(H171,Impostazioni!$D$23:$D$29,0))))</f>
        <v/>
      </c>
      <c r="K171" s="2" t="inlineStr">
        <is>
          <t>Scommessa / Sconosciuto</t>
        </is>
      </c>
      <c r="L171" s="2" t="n">
        <v>1</v>
      </c>
      <c r="M171" s="2" t="n">
        <v>1</v>
      </c>
    </row>
    <row r="172">
      <c r="A172" s="2" t="inlineStr">
        <is>
          <t>Ehizibue</t>
        </is>
      </c>
      <c r="B172" s="2" t="inlineStr">
        <is>
          <t>Genoa</t>
        </is>
      </c>
      <c r="C172" s="2" t="inlineStr">
        <is>
          <t>D</t>
        </is>
      </c>
      <c r="D172" s="2" t="inlineStr">
        <is>
          <t>Dd/E</t>
        </is>
      </c>
      <c r="E172" s="2" t="n">
        <v>4</v>
      </c>
      <c r="F172" s="2" t="n">
        <v>1.2</v>
      </c>
      <c r="G172" s="2" t="n">
        <v>0.5</v>
      </c>
      <c r="H172" s="8" t="inlineStr">
        <is>
          <t>Normale</t>
        </is>
      </c>
      <c r="I172" s="2">
        <f>MAX(1,TRUNC(L172*(Impostazioni!$B$2/500)*1*M172*INDEX(Impostazioni!$E$23:$E$29,MATCH(H172,Impostazioni!$D$23:$D$29,0))))</f>
        <v/>
      </c>
      <c r="J172" s="9">
        <f>MAX(1,TRUNC(L172*(Impostazioni!$B$2/500)*INDEX(Motore!$A$5:$H$8,MATCH(C172,Motore!$A$5:$A$8,0),8)*M172*INDEX(Impostazioni!$E$23:$E$29,MATCH(H172,Impostazioni!$D$23:$D$29,0))))</f>
        <v/>
      </c>
      <c r="K172" s="2" t="inlineStr">
        <is>
          <t>Scommessa / Sconosciuto</t>
        </is>
      </c>
      <c r="L172" s="2" t="n">
        <v>1</v>
      </c>
      <c r="M172" s="2" t="n">
        <v>1</v>
      </c>
    </row>
    <row r="173">
      <c r="A173" s="2" t="inlineStr">
        <is>
          <t>Favasuli</t>
        </is>
      </c>
      <c r="B173" s="2" t="inlineStr">
        <is>
          <t>Napoli</t>
        </is>
      </c>
      <c r="C173" s="2" t="inlineStr">
        <is>
          <t>D</t>
        </is>
      </c>
      <c r="D173" s="2" t="inlineStr">
        <is>
          <t>Dd/Ds/E</t>
        </is>
      </c>
      <c r="E173" s="2" t="n">
        <v>4</v>
      </c>
      <c r="F173" s="2" t="n">
        <v>1.1</v>
      </c>
      <c r="G173" s="2" t="n">
        <v>0.5</v>
      </c>
      <c r="H173" s="8" t="inlineStr">
        <is>
          <t>🪑 Riserva Fissa (da fasciaFc)</t>
        </is>
      </c>
      <c r="I173" s="2">
        <f>MAX(1,TRUNC(L173*(Impostazioni!$B$2/500)*1*M173*INDEX(Impostazioni!$E$23:$E$29,MATCH(H173,Impostazioni!$D$23:$D$29,0))))</f>
        <v/>
      </c>
      <c r="J173" s="9">
        <f>MAX(1,TRUNC(L173*(Impostazioni!$B$2/500)*INDEX(Motore!$A$5:$H$8,MATCH(C173,Motore!$A$5:$A$8,0),8)*M173*INDEX(Impostazioni!$E$23:$E$29,MATCH(H173,Impostazioni!$D$23:$D$29,0))))</f>
        <v/>
      </c>
      <c r="K173" s="2" t="inlineStr">
        <is>
          <t>Scommessa / Sconosciuto</t>
        </is>
      </c>
      <c r="L173" s="2" t="n">
        <v>1</v>
      </c>
      <c r="M173" s="2" t="n">
        <v>1.11</v>
      </c>
    </row>
    <row r="174">
      <c r="A174" s="2" t="inlineStr">
        <is>
          <t>Floriani Mussolini</t>
        </is>
      </c>
      <c r="B174" s="2" t="inlineStr">
        <is>
          <t>Lazio</t>
        </is>
      </c>
      <c r="C174" s="2" t="inlineStr">
        <is>
          <t>D</t>
        </is>
      </c>
      <c r="D174" s="2" t="inlineStr">
        <is>
          <t>Dd/E</t>
        </is>
      </c>
      <c r="E174" s="2" t="n">
        <v>4</v>
      </c>
      <c r="F174" s="2" t="n">
        <v>1.6</v>
      </c>
      <c r="G174" s="2" t="n">
        <v>0.5</v>
      </c>
      <c r="H174" s="8" t="inlineStr">
        <is>
          <t>Normale</t>
        </is>
      </c>
      <c r="I174" s="2">
        <f>MAX(1,TRUNC(L174*(Impostazioni!$B$2/500)*1*M174*INDEX(Impostazioni!$E$23:$E$29,MATCH(H174,Impostazioni!$D$23:$D$29,0))))</f>
        <v/>
      </c>
      <c r="J174" s="9">
        <f>MAX(1,TRUNC(L174*(Impostazioni!$B$2/500)*INDEX(Motore!$A$5:$H$8,MATCH(C174,Motore!$A$5:$A$8,0),8)*M174*INDEX(Impostazioni!$E$23:$E$29,MATCH(H174,Impostazioni!$D$23:$D$29,0))))</f>
        <v/>
      </c>
      <c r="K174" s="2" t="inlineStr">
        <is>
          <t>Scommessa / Sconosciuto</t>
        </is>
      </c>
      <c r="L174" s="2" t="n">
        <v>1</v>
      </c>
      <c r="M174" s="2" t="n">
        <v>1</v>
      </c>
    </row>
    <row r="175">
      <c r="A175" s="2" t="inlineStr">
        <is>
          <t>Gatti</t>
        </is>
      </c>
      <c r="B175" s="2" t="inlineStr">
        <is>
          <t>Juventus</t>
        </is>
      </c>
      <c r="C175" s="2" t="inlineStr">
        <is>
          <t>D</t>
        </is>
      </c>
      <c r="D175" s="2" t="inlineStr">
        <is>
          <t>Dc</t>
        </is>
      </c>
      <c r="E175" s="2" t="n">
        <v>4</v>
      </c>
      <c r="F175" s="2" t="n">
        <v>1.25</v>
      </c>
      <c r="G175" s="2" t="n">
        <v>0.5</v>
      </c>
      <c r="H175" s="8" t="inlineStr">
        <is>
          <t>🔴 Infortunato/Dubbio</t>
        </is>
      </c>
      <c r="I175" s="2">
        <f>MAX(1,TRUNC(L175*(Impostazioni!$B$2/500)*1*M175*INDEX(Impostazioni!$E$23:$E$29,MATCH(H175,Impostazioni!$D$23:$D$29,0))))</f>
        <v/>
      </c>
      <c r="J175" s="9">
        <f>MAX(1,TRUNC(L175*(Impostazioni!$B$2/500)*INDEX(Motore!$A$5:$H$8,MATCH(C175,Motore!$A$5:$A$8,0),8)*M175*INDEX(Impostazioni!$E$23:$E$29,MATCH(H175,Impostazioni!$D$23:$D$29,0))))</f>
        <v/>
      </c>
      <c r="K175" s="2" t="inlineStr">
        <is>
          <t>Scommessa / Sconosciuto</t>
        </is>
      </c>
      <c r="L175" s="2" t="n">
        <v>1</v>
      </c>
      <c r="M175" s="2" t="n">
        <v>1.12</v>
      </c>
    </row>
    <row r="176">
      <c r="A176" s="2" t="inlineStr">
        <is>
          <t>Hainaut</t>
        </is>
      </c>
      <c r="B176" s="2" t="inlineStr">
        <is>
          <t>Venezia</t>
        </is>
      </c>
      <c r="C176" s="2" t="inlineStr">
        <is>
          <t>D</t>
        </is>
      </c>
      <c r="D176" s="2" t="inlineStr">
        <is>
          <t>Dd/E</t>
        </is>
      </c>
      <c r="E176" s="2" t="n">
        <v>4</v>
      </c>
      <c r="F176" s="2" t="n">
        <v>1.2</v>
      </c>
      <c r="G176" s="2" t="n">
        <v>0.5</v>
      </c>
      <c r="H176" s="8" t="inlineStr">
        <is>
          <t>Normale</t>
        </is>
      </c>
      <c r="I176" s="2">
        <f>MAX(1,TRUNC(L176*(Impostazioni!$B$2/500)*1*M176*INDEX(Impostazioni!$E$23:$E$29,MATCH(H176,Impostazioni!$D$23:$D$29,0))))</f>
        <v/>
      </c>
      <c r="J176" s="9">
        <f>MAX(1,TRUNC(L176*(Impostazioni!$B$2/500)*INDEX(Motore!$A$5:$H$8,MATCH(C176,Motore!$A$5:$A$8,0),8)*M176*INDEX(Impostazioni!$E$23:$E$29,MATCH(H176,Impostazioni!$D$23:$D$29,0))))</f>
        <v/>
      </c>
      <c r="K176" s="2" t="inlineStr">
        <is>
          <t>Scommessa / Sconosciuto</t>
        </is>
      </c>
      <c r="L176" s="2" t="n">
        <v>1</v>
      </c>
      <c r="M176" s="2" t="n">
        <v>0.85</v>
      </c>
    </row>
    <row r="177">
      <c r="A177" s="2" t="inlineStr">
        <is>
          <t>Juan Jesus</t>
        </is>
      </c>
      <c r="B177" s="2" t="inlineStr">
        <is>
          <t>Venezia</t>
        </is>
      </c>
      <c r="C177" s="2" t="inlineStr">
        <is>
          <t>D</t>
        </is>
      </c>
      <c r="D177" s="2" t="inlineStr">
        <is>
          <t>Ds/Dc</t>
        </is>
      </c>
      <c r="E177" s="2" t="n">
        <v>4</v>
      </c>
      <c r="F177" s="2" t="n">
        <v>1.25</v>
      </c>
      <c r="G177" s="2" t="n">
        <v>0.5</v>
      </c>
      <c r="H177" s="8" t="inlineStr">
        <is>
          <t>Normale</t>
        </is>
      </c>
      <c r="I177" s="2">
        <f>MAX(1,TRUNC(L177*(Impostazioni!$B$2/500)*1*M177*INDEX(Impostazioni!$E$23:$E$29,MATCH(H177,Impostazioni!$D$23:$D$29,0))))</f>
        <v/>
      </c>
      <c r="J177" s="9">
        <f>MAX(1,TRUNC(L177*(Impostazioni!$B$2/500)*INDEX(Motore!$A$5:$H$8,MATCH(C177,Motore!$A$5:$A$8,0),8)*M177*INDEX(Impostazioni!$E$23:$E$29,MATCH(H177,Impostazioni!$D$23:$D$29,0))))</f>
        <v/>
      </c>
      <c r="K177" s="2" t="inlineStr">
        <is>
          <t>Scommessa / Sconosciuto</t>
        </is>
      </c>
      <c r="L177" s="2" t="n">
        <v>1</v>
      </c>
      <c r="M177" s="2" t="n">
        <v>0.85</v>
      </c>
    </row>
    <row r="178">
      <c r="A178" s="2" t="inlineStr">
        <is>
          <t>Kabasele</t>
        </is>
      </c>
      <c r="B178" s="2" t="inlineStr">
        <is>
          <t>Udinese</t>
        </is>
      </c>
      <c r="C178" s="2" t="inlineStr">
        <is>
          <t>D</t>
        </is>
      </c>
      <c r="D178" s="2" t="inlineStr">
        <is>
          <t>Dc</t>
        </is>
      </c>
      <c r="E178" s="2" t="n">
        <v>4</v>
      </c>
      <c r="F178" s="2" t="n">
        <v>1.85</v>
      </c>
      <c r="G178" s="2" t="n">
        <v>0.5</v>
      </c>
      <c r="H178" s="8" t="inlineStr">
        <is>
          <t>Normale</t>
        </is>
      </c>
      <c r="I178" s="2">
        <f>MAX(1,TRUNC(L178*(Impostazioni!$B$2/500)*1*M178*INDEX(Impostazioni!$E$23:$E$29,MATCH(H178,Impostazioni!$D$23:$D$29,0))))</f>
        <v/>
      </c>
      <c r="J178" s="9">
        <f>MAX(1,TRUNC(L178*(Impostazioni!$B$2/500)*INDEX(Motore!$A$5:$H$8,MATCH(C178,Motore!$A$5:$A$8,0),8)*M178*INDEX(Impostazioni!$E$23:$E$29,MATCH(H178,Impostazioni!$D$23:$D$29,0))))</f>
        <v/>
      </c>
      <c r="K178" s="2" t="inlineStr">
        <is>
          <t>Scommessa / Sconosciuto</t>
        </is>
      </c>
      <c r="L178" s="2" t="n">
        <v>1</v>
      </c>
      <c r="M178" s="2" t="n">
        <v>1</v>
      </c>
    </row>
    <row r="179">
      <c r="A179" s="2" t="inlineStr">
        <is>
          <t>Kossounou</t>
        </is>
      </c>
      <c r="B179" s="2" t="inlineStr">
        <is>
          <t>Atalanta</t>
        </is>
      </c>
      <c r="C179" s="2" t="inlineStr">
        <is>
          <t>D</t>
        </is>
      </c>
      <c r="D179" s="2" t="inlineStr">
        <is>
          <t>Dd/Dc</t>
        </is>
      </c>
      <c r="E179" s="2" t="n">
        <v>4</v>
      </c>
      <c r="F179" s="2" t="n">
        <v>2.35</v>
      </c>
      <c r="G179" s="2" t="n">
        <v>0.5</v>
      </c>
      <c r="H179" s="8" t="inlineStr">
        <is>
          <t>Normale</t>
        </is>
      </c>
      <c r="I179" s="2">
        <f>MAX(1,TRUNC(L179*(Impostazioni!$B$2/500)*1*M179*INDEX(Impostazioni!$E$23:$E$29,MATCH(H179,Impostazioni!$D$23:$D$29,0))))</f>
        <v/>
      </c>
      <c r="J179" s="9">
        <f>MAX(1,TRUNC(L179*(Impostazioni!$B$2/500)*INDEX(Motore!$A$5:$H$8,MATCH(C179,Motore!$A$5:$A$8,0),8)*M179*INDEX(Impostazioni!$E$23:$E$29,MATCH(H179,Impostazioni!$D$23:$D$29,0))))</f>
        <v/>
      </c>
      <c r="K179" s="2" t="inlineStr">
        <is>
          <t>Scommessa / Sconosciuto</t>
        </is>
      </c>
      <c r="L179" s="2" t="n">
        <v>1</v>
      </c>
      <c r="M179" s="2" t="n">
        <v>1.05</v>
      </c>
    </row>
    <row r="180">
      <c r="A180" s="2" t="inlineStr">
        <is>
          <t>Mitaj</t>
        </is>
      </c>
      <c r="B180" s="2" t="inlineStr">
        <is>
          <t>Genoa</t>
        </is>
      </c>
      <c r="C180" s="2" t="inlineStr">
        <is>
          <t>D</t>
        </is>
      </c>
      <c r="D180" s="2" t="inlineStr">
        <is>
          <t>Ds/E</t>
        </is>
      </c>
      <c r="E180" s="2" t="n">
        <v>4</v>
      </c>
      <c r="F180" s="2" t="n">
        <v>1.05</v>
      </c>
      <c r="G180" s="2" t="n">
        <v>0.5</v>
      </c>
      <c r="H180" s="8" t="inlineStr">
        <is>
          <t>🟡 Ballottaggio</t>
        </is>
      </c>
      <c r="I180" s="2">
        <f>MAX(1,TRUNC(L180*(Impostazioni!$B$2/500)*1*M180*INDEX(Impostazioni!$E$23:$E$29,MATCH(H180,Impostazioni!$D$23:$D$29,0))))</f>
        <v/>
      </c>
      <c r="J180" s="9">
        <f>MAX(1,TRUNC(L180*(Impostazioni!$B$2/500)*INDEX(Motore!$A$5:$H$8,MATCH(C180,Motore!$A$5:$A$8,0),8)*M180*INDEX(Impostazioni!$E$23:$E$29,MATCH(H180,Impostazioni!$D$23:$D$29,0))))</f>
        <v/>
      </c>
      <c r="K180" s="2" t="inlineStr">
        <is>
          <t>Scommessa / Sconosciuto</t>
        </is>
      </c>
      <c r="L180" s="2" t="n">
        <v>1</v>
      </c>
      <c r="M180" s="2" t="n">
        <v>1</v>
      </c>
    </row>
    <row r="181">
      <c r="A181" s="2" t="inlineStr">
        <is>
          <t>Moreno M.</t>
        </is>
      </c>
      <c r="B181" s="2" t="inlineStr">
        <is>
          <t>Venezia</t>
        </is>
      </c>
      <c r="C181" s="2" t="inlineStr">
        <is>
          <t>D</t>
        </is>
      </c>
      <c r="D181" s="2" t="inlineStr">
        <is>
          <t>Dc</t>
        </is>
      </c>
      <c r="E181" s="2" t="n">
        <v>4</v>
      </c>
      <c r="F181" s="2" t="n">
        <v>0.5</v>
      </c>
      <c r="G181" s="2" t="n">
        <v>0.5</v>
      </c>
      <c r="H181" s="8" t="inlineStr">
        <is>
          <t>🔴 Infortunato/Dubbio</t>
        </is>
      </c>
      <c r="I181" s="2">
        <f>MAX(1,TRUNC(L181*(Impostazioni!$B$2/500)*1*M181*INDEX(Impostazioni!$E$23:$E$29,MATCH(H181,Impostazioni!$D$23:$D$29,0))))</f>
        <v/>
      </c>
      <c r="J181" s="9">
        <f>MAX(1,TRUNC(L181*(Impostazioni!$B$2/500)*INDEX(Motore!$A$5:$H$8,MATCH(C181,Motore!$A$5:$A$8,0),8)*M181*INDEX(Impostazioni!$E$23:$E$29,MATCH(H181,Impostazioni!$D$23:$D$29,0))))</f>
        <v/>
      </c>
      <c r="K181" s="2" t="inlineStr">
        <is>
          <t>Scommessa / Sconosciuto</t>
        </is>
      </c>
      <c r="L181" s="2" t="n">
        <v>1</v>
      </c>
      <c r="M181" s="2" t="n">
        <v>0.85</v>
      </c>
    </row>
    <row r="182">
      <c r="A182" s="2" t="inlineStr">
        <is>
          <t>Parisi</t>
        </is>
      </c>
      <c r="B182" s="2" t="inlineStr">
        <is>
          <t>Fiorentina</t>
        </is>
      </c>
      <c r="C182" s="2" t="inlineStr">
        <is>
          <t>D</t>
        </is>
      </c>
      <c r="D182" s="2" t="inlineStr">
        <is>
          <t>Ds/E</t>
        </is>
      </c>
      <c r="E182" s="2" t="n">
        <v>4</v>
      </c>
      <c r="F182" s="2" t="n">
        <v>0.85</v>
      </c>
      <c r="G182" s="2" t="n">
        <v>0.5</v>
      </c>
      <c r="H182" s="8" t="inlineStr">
        <is>
          <t>🔴 Infortunato/Dubbio</t>
        </is>
      </c>
      <c r="I182" s="2">
        <f>MAX(1,TRUNC(L182*(Impostazioni!$B$2/500)*1*M182*INDEX(Impostazioni!$E$23:$E$29,MATCH(H182,Impostazioni!$D$23:$D$29,0))))</f>
        <v/>
      </c>
      <c r="J182" s="9">
        <f>MAX(1,TRUNC(L182*(Impostazioni!$B$2/500)*INDEX(Motore!$A$5:$H$8,MATCH(C182,Motore!$A$5:$A$8,0),8)*M182*INDEX(Impostazioni!$E$23:$E$29,MATCH(H182,Impostazioni!$D$23:$D$29,0))))</f>
        <v/>
      </c>
      <c r="K182" s="2" t="inlineStr">
        <is>
          <t>Scommessa / Sconosciuto</t>
        </is>
      </c>
      <c r="L182" s="2" t="n">
        <v>1</v>
      </c>
      <c r="M182" s="2" t="n">
        <v>1</v>
      </c>
    </row>
    <row r="183">
      <c r="A183" s="2" t="inlineStr">
        <is>
          <t>Pongracic</t>
        </is>
      </c>
      <c r="B183" s="2" t="inlineStr">
        <is>
          <t>Fiorentina</t>
        </is>
      </c>
      <c r="C183" s="2" t="inlineStr">
        <is>
          <t>D</t>
        </is>
      </c>
      <c r="D183" s="2" t="inlineStr">
        <is>
          <t>Dc</t>
        </is>
      </c>
      <c r="E183" s="2" t="n">
        <v>4</v>
      </c>
      <c r="F183" s="2" t="n">
        <v>1</v>
      </c>
      <c r="G183" s="2" t="n">
        <v>0.5</v>
      </c>
      <c r="H183" s="8" t="inlineStr">
        <is>
          <t>🪑 Riserva Fissa (da fasciaFc)</t>
        </is>
      </c>
      <c r="I183" s="2">
        <f>MAX(1,TRUNC(L183*(Impostazioni!$B$2/500)*1*M183*INDEX(Impostazioni!$E$23:$E$29,MATCH(H183,Impostazioni!$D$23:$D$29,0))))</f>
        <v/>
      </c>
      <c r="J183" s="9">
        <f>MAX(1,TRUNC(L183*(Impostazioni!$B$2/500)*INDEX(Motore!$A$5:$H$8,MATCH(C183,Motore!$A$5:$A$8,0),8)*M183*INDEX(Impostazioni!$E$23:$E$29,MATCH(H183,Impostazioni!$D$23:$D$29,0))))</f>
        <v/>
      </c>
      <c r="K183" s="2" t="inlineStr">
        <is>
          <t>Scommessa / Sconosciuto</t>
        </is>
      </c>
      <c r="L183" s="2" t="n">
        <v>1</v>
      </c>
      <c r="M183" s="2" t="n">
        <v>1</v>
      </c>
    </row>
    <row r="184">
      <c r="A184" s="2" t="inlineStr">
        <is>
          <t>Provstgaard</t>
        </is>
      </c>
      <c r="B184" s="2" t="inlineStr">
        <is>
          <t>Lazio</t>
        </is>
      </c>
      <c r="C184" s="2" t="inlineStr">
        <is>
          <t>D</t>
        </is>
      </c>
      <c r="D184" s="2" t="inlineStr">
        <is>
          <t>Dc</t>
        </is>
      </c>
      <c r="E184" s="2" t="n">
        <v>4</v>
      </c>
      <c r="F184" s="2" t="n">
        <v>1.85</v>
      </c>
      <c r="G184" s="2" t="n">
        <v>0.5</v>
      </c>
      <c r="H184" s="8" t="inlineStr">
        <is>
          <t>Normale</t>
        </is>
      </c>
      <c r="I184" s="2">
        <f>MAX(1,TRUNC(L184*(Impostazioni!$B$2/500)*1*M184*INDEX(Impostazioni!$E$23:$E$29,MATCH(H184,Impostazioni!$D$23:$D$29,0))))</f>
        <v/>
      </c>
      <c r="J184" s="9">
        <f>MAX(1,TRUNC(L184*(Impostazioni!$B$2/500)*INDEX(Motore!$A$5:$H$8,MATCH(C184,Motore!$A$5:$A$8,0),8)*M184*INDEX(Impostazioni!$E$23:$E$29,MATCH(H184,Impostazioni!$D$23:$D$29,0))))</f>
        <v/>
      </c>
      <c r="K184" s="2" t="inlineStr">
        <is>
          <t>Scommessa / Sconosciuto</t>
        </is>
      </c>
      <c r="L184" s="2" t="n">
        <v>1</v>
      </c>
      <c r="M184" s="2" t="n">
        <v>1</v>
      </c>
    </row>
    <row r="185">
      <c r="A185" s="2" t="inlineStr">
        <is>
          <t>Rensch</t>
        </is>
      </c>
      <c r="B185" s="2" t="inlineStr">
        <is>
          <t>Roma</t>
        </is>
      </c>
      <c r="C185" s="2" t="inlineStr">
        <is>
          <t>D</t>
        </is>
      </c>
      <c r="D185" s="2" t="inlineStr">
        <is>
          <t>B/Dd/E</t>
        </is>
      </c>
      <c r="E185" s="2" t="n">
        <v>4</v>
      </c>
      <c r="F185" s="2" t="n">
        <v>1.5</v>
      </c>
      <c r="G185" s="2" t="n">
        <v>0.5</v>
      </c>
      <c r="H185" s="8" t="inlineStr">
        <is>
          <t>🔴 Infortunato/Dubbio</t>
        </is>
      </c>
      <c r="I185" s="2">
        <f>MAX(1,TRUNC(L185*(Impostazioni!$B$2/500)*1*M185*INDEX(Impostazioni!$E$23:$E$29,MATCH(H185,Impostazioni!$D$23:$D$29,0))))</f>
        <v/>
      </c>
      <c r="J185" s="9">
        <f>MAX(1,TRUNC(L185*(Impostazioni!$B$2/500)*INDEX(Motore!$A$5:$H$8,MATCH(C185,Motore!$A$5:$A$8,0),8)*M185*INDEX(Impostazioni!$E$23:$E$29,MATCH(H185,Impostazioni!$D$23:$D$29,0))))</f>
        <v/>
      </c>
      <c r="K185" s="2" t="inlineStr">
        <is>
          <t>Scommessa / Sconosciuto</t>
        </is>
      </c>
      <c r="L185" s="2" t="n">
        <v>1</v>
      </c>
      <c r="M185" s="2" t="n">
        <v>1.16</v>
      </c>
    </row>
    <row r="186">
      <c r="A186" s="2" t="inlineStr">
        <is>
          <t>Rodriguez Ju.</t>
        </is>
      </c>
      <c r="B186" s="2" t="inlineStr">
        <is>
          <t>Cagliari</t>
        </is>
      </c>
      <c r="C186" s="2" t="inlineStr">
        <is>
          <t>D</t>
        </is>
      </c>
      <c r="D186" s="2" t="inlineStr">
        <is>
          <t>Ds/Dc</t>
        </is>
      </c>
      <c r="E186" s="2" t="n">
        <v>4</v>
      </c>
      <c r="F186" s="2" t="n">
        <v>1.75</v>
      </c>
      <c r="G186" s="2" t="n">
        <v>0.5</v>
      </c>
      <c r="H186" s="8" t="inlineStr">
        <is>
          <t>Normale</t>
        </is>
      </c>
      <c r="I186" s="2">
        <f>MAX(1,TRUNC(L186*(Impostazioni!$B$2/500)*1*M186*INDEX(Impostazioni!$E$23:$E$29,MATCH(H186,Impostazioni!$D$23:$D$29,0))))</f>
        <v/>
      </c>
      <c r="J186" s="9">
        <f>MAX(1,TRUNC(L186*(Impostazioni!$B$2/500)*INDEX(Motore!$A$5:$H$8,MATCH(C186,Motore!$A$5:$A$8,0),8)*M186*INDEX(Impostazioni!$E$23:$E$29,MATCH(H186,Impostazioni!$D$23:$D$29,0))))</f>
        <v/>
      </c>
      <c r="K186" s="2" t="inlineStr">
        <is>
          <t>Scommessa / Sconosciuto</t>
        </is>
      </c>
      <c r="L186" s="2" t="n">
        <v>1</v>
      </c>
      <c r="M186" s="2" t="n">
        <v>1</v>
      </c>
    </row>
    <row r="187">
      <c r="A187" s="2" t="inlineStr">
        <is>
          <t>Siebert</t>
        </is>
      </c>
      <c r="B187" s="2" t="inlineStr">
        <is>
          <t>Lecce</t>
        </is>
      </c>
      <c r="C187" s="2" t="inlineStr">
        <is>
          <t>D</t>
        </is>
      </c>
      <c r="D187" s="2" t="inlineStr">
        <is>
          <t>Dc</t>
        </is>
      </c>
      <c r="E187" s="2" t="n">
        <v>4</v>
      </c>
      <c r="F187" s="2" t="n">
        <v>1.05</v>
      </c>
      <c r="G187" s="2" t="n">
        <v>0.5</v>
      </c>
      <c r="H187" s="8" t="inlineStr">
        <is>
          <t>🪑 Riserva Fissa (da fasciaFc)</t>
        </is>
      </c>
      <c r="I187" s="2">
        <f>MAX(1,TRUNC(L187*(Impostazioni!$B$2/500)*1*M187*INDEX(Impostazioni!$E$23:$E$29,MATCH(H187,Impostazioni!$D$23:$D$29,0))))</f>
        <v/>
      </c>
      <c r="J187" s="9">
        <f>MAX(1,TRUNC(L187*(Impostazioni!$B$2/500)*INDEX(Motore!$A$5:$H$8,MATCH(C187,Motore!$A$5:$A$8,0),8)*M187*INDEX(Impostazioni!$E$23:$E$29,MATCH(H187,Impostazioni!$D$23:$D$29,0))))</f>
        <v/>
      </c>
      <c r="K187" s="2" t="inlineStr">
        <is>
          <t>Scommessa / Sconosciuto</t>
        </is>
      </c>
      <c r="L187" s="2" t="n">
        <v>1</v>
      </c>
      <c r="M187" s="2" t="n">
        <v>1</v>
      </c>
    </row>
    <row r="188">
      <c r="A188" s="2" t="inlineStr">
        <is>
          <t>Smolcic I.</t>
        </is>
      </c>
      <c r="B188" s="2" t="inlineStr">
        <is>
          <t>Como</t>
        </is>
      </c>
      <c r="C188" s="2" t="inlineStr">
        <is>
          <t>D</t>
        </is>
      </c>
      <c r="D188" s="2" t="inlineStr">
        <is>
          <t>Dd/E</t>
        </is>
      </c>
      <c r="E188" s="2" t="n">
        <v>4</v>
      </c>
      <c r="F188" s="2" t="n">
        <v>1</v>
      </c>
      <c r="G188" s="2" t="n">
        <v>0.5</v>
      </c>
      <c r="H188" s="8" t="inlineStr">
        <is>
          <t>🪑 Riserva Fissa (da fasciaFc)</t>
        </is>
      </c>
      <c r="I188" s="2">
        <f>MAX(1,TRUNC(L188*(Impostazioni!$B$2/500)*1*M188*INDEX(Impostazioni!$E$23:$E$29,MATCH(H188,Impostazioni!$D$23:$D$29,0))))</f>
        <v/>
      </c>
      <c r="J188" s="9">
        <f>MAX(1,TRUNC(L188*(Impostazioni!$B$2/500)*INDEX(Motore!$A$5:$H$8,MATCH(C188,Motore!$A$5:$A$8,0),8)*M188*INDEX(Impostazioni!$E$23:$E$29,MATCH(H188,Impostazioni!$D$23:$D$29,0))))</f>
        <v/>
      </c>
      <c r="K188" s="2" t="inlineStr">
        <is>
          <t>Scommessa / Sconosciuto</t>
        </is>
      </c>
      <c r="L188" s="2" t="n">
        <v>1</v>
      </c>
      <c r="M188" s="2" t="n">
        <v>1.19</v>
      </c>
    </row>
    <row r="189">
      <c r="A189" s="2" t="inlineStr">
        <is>
          <t>Terzic</t>
        </is>
      </c>
      <c r="B189" s="2" t="inlineStr">
        <is>
          <t>Frosinone</t>
        </is>
      </c>
      <c r="C189" s="2" t="inlineStr">
        <is>
          <t>D</t>
        </is>
      </c>
      <c r="D189" s="2" t="inlineStr">
        <is>
          <t>Ds/E</t>
        </is>
      </c>
      <c r="E189" s="2" t="n">
        <v>4</v>
      </c>
      <c r="F189" s="2" t="n">
        <v>0.9</v>
      </c>
      <c r="G189" s="2" t="n">
        <v>0.5</v>
      </c>
      <c r="H189" s="8" t="inlineStr">
        <is>
          <t>Normale</t>
        </is>
      </c>
      <c r="I189" s="2">
        <f>MAX(1,TRUNC(L189*(Impostazioni!$B$2/500)*1*M189*INDEX(Impostazioni!$E$23:$E$29,MATCH(H189,Impostazioni!$D$23:$D$29,0))))</f>
        <v/>
      </c>
      <c r="J189" s="9">
        <f>MAX(1,TRUNC(L189*(Impostazioni!$B$2/500)*INDEX(Motore!$A$5:$H$8,MATCH(C189,Motore!$A$5:$A$8,0),8)*M189*INDEX(Impostazioni!$E$23:$E$29,MATCH(H189,Impostazioni!$D$23:$D$29,0))))</f>
        <v/>
      </c>
      <c r="K189" s="2" t="inlineStr">
        <is>
          <t>Scommessa / Sconosciuto</t>
        </is>
      </c>
      <c r="L189" s="2" t="n">
        <v>1</v>
      </c>
      <c r="M189" s="2" t="n">
        <v>0.85</v>
      </c>
    </row>
    <row r="190">
      <c r="A190" s="2" t="inlineStr">
        <is>
          <t>Valenti</t>
        </is>
      </c>
      <c r="B190" s="2" t="inlineStr">
        <is>
          <t>Parma</t>
        </is>
      </c>
      <c r="C190" s="2" t="inlineStr">
        <is>
          <t>D</t>
        </is>
      </c>
      <c r="D190" s="2" t="inlineStr">
        <is>
          <t>Dc</t>
        </is>
      </c>
      <c r="E190" s="2" t="n">
        <v>4</v>
      </c>
      <c r="F190" s="2" t="n">
        <v>1.2</v>
      </c>
      <c r="G190" s="2" t="n">
        <v>0.5</v>
      </c>
      <c r="H190" s="8" t="inlineStr">
        <is>
          <t>🪑 Riserva Fissa (da fasciaFc)</t>
        </is>
      </c>
      <c r="I190" s="2">
        <f>MAX(1,TRUNC(L190*(Impostazioni!$B$2/500)*1*M190*INDEX(Impostazioni!$E$23:$E$29,MATCH(H190,Impostazioni!$D$23:$D$29,0))))</f>
        <v/>
      </c>
      <c r="J190" s="9">
        <f>MAX(1,TRUNC(L190*(Impostazioni!$B$2/500)*INDEX(Motore!$A$5:$H$8,MATCH(C190,Motore!$A$5:$A$8,0),8)*M190*INDEX(Impostazioni!$E$23:$E$29,MATCH(H190,Impostazioni!$D$23:$D$29,0))))</f>
        <v/>
      </c>
      <c r="K190" s="2" t="inlineStr">
        <is>
          <t>Scommessa / Sconosciuto</t>
        </is>
      </c>
      <c r="L190" s="2" t="n">
        <v>1</v>
      </c>
      <c r="M190" s="2" t="n">
        <v>1</v>
      </c>
    </row>
    <row r="191">
      <c r="A191" s="2" t="inlineStr">
        <is>
          <t>Vitik</t>
        </is>
      </c>
      <c r="B191" s="2" t="inlineStr">
        <is>
          <t>Bologna</t>
        </is>
      </c>
      <c r="C191" s="2" t="inlineStr">
        <is>
          <t>D</t>
        </is>
      </c>
      <c r="D191" s="2" t="inlineStr">
        <is>
          <t>Dc</t>
        </is>
      </c>
      <c r="E191" s="2" t="n">
        <v>4</v>
      </c>
      <c r="F191" s="2" t="n">
        <v>1.05</v>
      </c>
      <c r="G191" s="2" t="n">
        <v>0.5</v>
      </c>
      <c r="H191" s="8" t="inlineStr">
        <is>
          <t>🪑 Riserva Fissa (da fasciaFc)</t>
        </is>
      </c>
      <c r="I191" s="2">
        <f>MAX(1,TRUNC(L191*(Impostazioni!$B$2/500)*1*M191*INDEX(Impostazioni!$E$23:$E$29,MATCH(H191,Impostazioni!$D$23:$D$29,0))))</f>
        <v/>
      </c>
      <c r="J191" s="9">
        <f>MAX(1,TRUNC(L191*(Impostazioni!$B$2/500)*INDEX(Motore!$A$5:$H$8,MATCH(C191,Motore!$A$5:$A$8,0),8)*M191*INDEX(Impostazioni!$E$23:$E$29,MATCH(H191,Impostazioni!$D$23:$D$29,0))))</f>
        <v/>
      </c>
      <c r="K191" s="2" t="inlineStr">
        <is>
          <t>Scommessa / Sconosciuto</t>
        </is>
      </c>
      <c r="L191" s="2" t="n">
        <v>1</v>
      </c>
      <c r="M191" s="2" t="n">
        <v>1.08</v>
      </c>
    </row>
    <row r="192">
      <c r="A192" s="2" t="inlineStr">
        <is>
          <t>Walukiewicz</t>
        </is>
      </c>
      <c r="B192" s="2" t="inlineStr">
        <is>
          <t>Sassuolo</t>
        </is>
      </c>
      <c r="C192" s="2" t="inlineStr">
        <is>
          <t>D</t>
        </is>
      </c>
      <c r="D192" s="2" t="inlineStr">
        <is>
          <t>Dd/Dc</t>
        </is>
      </c>
      <c r="E192" s="2" t="n">
        <v>4</v>
      </c>
      <c r="F192" s="2" t="n">
        <v>1.2</v>
      </c>
      <c r="G192" s="2" t="n">
        <v>0.5</v>
      </c>
      <c r="H192" s="8" t="inlineStr">
        <is>
          <t>🔴 Infortunato/Dubbio</t>
        </is>
      </c>
      <c r="I192" s="2">
        <f>MAX(1,TRUNC(L192*(Impostazioni!$B$2/500)*1*M192*INDEX(Impostazioni!$E$23:$E$29,MATCH(H192,Impostazioni!$D$23:$D$29,0))))</f>
        <v/>
      </c>
      <c r="J192" s="9">
        <f>MAX(1,TRUNC(L192*(Impostazioni!$B$2/500)*INDEX(Motore!$A$5:$H$8,MATCH(C192,Motore!$A$5:$A$8,0),8)*M192*INDEX(Impostazioni!$E$23:$E$29,MATCH(H192,Impostazioni!$D$23:$D$29,0))))</f>
        <v/>
      </c>
      <c r="K192" s="2" t="inlineStr">
        <is>
          <t>Scommessa / Sconosciuto</t>
        </is>
      </c>
      <c r="L192" s="2" t="n">
        <v>1</v>
      </c>
      <c r="M192" s="2" t="n">
        <v>1</v>
      </c>
    </row>
    <row r="193">
      <c r="A193" s="2" t="inlineStr">
        <is>
          <t>Zanoli</t>
        </is>
      </c>
      <c r="B193" s="2" t="inlineStr">
        <is>
          <t>Udinese</t>
        </is>
      </c>
      <c r="C193" s="2" t="inlineStr">
        <is>
          <t>D</t>
        </is>
      </c>
      <c r="D193" s="2" t="inlineStr">
        <is>
          <t>Dd/E</t>
        </is>
      </c>
      <c r="E193" s="2" t="n">
        <v>4</v>
      </c>
      <c r="F193" s="2" t="n">
        <v>1.15</v>
      </c>
      <c r="G193" s="2" t="n">
        <v>0.5</v>
      </c>
      <c r="H193" s="8" t="inlineStr">
        <is>
          <t>🔴 Infortunato/Dubbio</t>
        </is>
      </c>
      <c r="I193" s="2">
        <f>MAX(1,TRUNC(L193*(Impostazioni!$B$2/500)*1*M193*INDEX(Impostazioni!$E$23:$E$29,MATCH(H193,Impostazioni!$D$23:$D$29,0))))</f>
        <v/>
      </c>
      <c r="J193" s="9">
        <f>MAX(1,TRUNC(L193*(Impostazioni!$B$2/500)*INDEX(Motore!$A$5:$H$8,MATCH(C193,Motore!$A$5:$A$8,0),8)*M193*INDEX(Impostazioni!$E$23:$E$29,MATCH(H193,Impostazioni!$D$23:$D$29,0))))</f>
        <v/>
      </c>
      <c r="K193" s="2" t="inlineStr">
        <is>
          <t>Scommessa / Sconosciuto</t>
        </is>
      </c>
      <c r="L193" s="2" t="n">
        <v>1</v>
      </c>
      <c r="M193" s="2" t="n">
        <v>1</v>
      </c>
    </row>
    <row r="194">
      <c r="A194" s="2" t="inlineStr">
        <is>
          <t>Akpoguma</t>
        </is>
      </c>
      <c r="B194" s="2" t="inlineStr">
        <is>
          <t>Frosinone</t>
        </is>
      </c>
      <c r="C194" s="2" t="inlineStr">
        <is>
          <t>D</t>
        </is>
      </c>
      <c r="D194" s="2" t="inlineStr">
        <is>
          <t>Dc</t>
        </is>
      </c>
      <c r="E194" s="2" t="n">
        <v>3</v>
      </c>
      <c r="F194" s="2" t="n">
        <v>0.5</v>
      </c>
      <c r="G194" s="2" t="n">
        <v>0.5</v>
      </c>
      <c r="H194" s="8" t="inlineStr">
        <is>
          <t>Normale</t>
        </is>
      </c>
      <c r="I194" s="2">
        <f>MAX(1,TRUNC(L194*(Impostazioni!$B$2/500)*1*M194*INDEX(Impostazioni!$E$23:$E$29,MATCH(H194,Impostazioni!$D$23:$D$29,0))))</f>
        <v/>
      </c>
      <c r="J194" s="9">
        <f>MAX(1,TRUNC(L194*(Impostazioni!$B$2/500)*INDEX(Motore!$A$5:$H$8,MATCH(C194,Motore!$A$5:$A$8,0),8)*M194*INDEX(Impostazioni!$E$23:$E$29,MATCH(H194,Impostazioni!$D$23:$D$29,0))))</f>
        <v/>
      </c>
      <c r="K194" s="2" t="inlineStr">
        <is>
          <t>Scommessa / Sconosciuto</t>
        </is>
      </c>
      <c r="L194" s="2" t="n">
        <v>1</v>
      </c>
      <c r="M194" s="2" t="n">
        <v>0.85</v>
      </c>
    </row>
    <row r="195">
      <c r="A195" s="2" t="inlineStr">
        <is>
          <t>Britschgi</t>
        </is>
      </c>
      <c r="B195" s="2" t="inlineStr">
        <is>
          <t>Parma</t>
        </is>
      </c>
      <c r="C195" s="2" t="inlineStr">
        <is>
          <t>D</t>
        </is>
      </c>
      <c r="D195" s="2" t="inlineStr">
        <is>
          <t>Dd/Ds/E</t>
        </is>
      </c>
      <c r="E195" s="2" t="n">
        <v>3</v>
      </c>
      <c r="F195" s="2" t="n">
        <v>1.35</v>
      </c>
      <c r="G195" s="2" t="n">
        <v>0.5</v>
      </c>
      <c r="H195" s="8" t="inlineStr">
        <is>
          <t>Normale</t>
        </is>
      </c>
      <c r="I195" s="2">
        <f>MAX(1,TRUNC(L195*(Impostazioni!$B$2/500)*1*M195*INDEX(Impostazioni!$E$23:$E$29,MATCH(H195,Impostazioni!$D$23:$D$29,0))))</f>
        <v/>
      </c>
      <c r="J195" s="9">
        <f>MAX(1,TRUNC(L195*(Impostazioni!$B$2/500)*INDEX(Motore!$A$5:$H$8,MATCH(C195,Motore!$A$5:$A$8,0),8)*M195*INDEX(Impostazioni!$E$23:$E$29,MATCH(H195,Impostazioni!$D$23:$D$29,0))))</f>
        <v/>
      </c>
      <c r="K195" s="2" t="inlineStr">
        <is>
          <t>Scommessa / Sconosciuto</t>
        </is>
      </c>
      <c r="L195" s="2" t="n">
        <v>1</v>
      </c>
      <c r="M195" s="2" t="n">
        <v>1</v>
      </c>
    </row>
    <row r="196">
      <c r="A196" s="2" t="inlineStr">
        <is>
          <t>Candè</t>
        </is>
      </c>
      <c r="B196" s="2" t="inlineStr">
        <is>
          <t>Sassuolo</t>
        </is>
      </c>
      <c r="C196" s="2" t="inlineStr">
        <is>
          <t>D</t>
        </is>
      </c>
      <c r="D196" s="2" t="inlineStr">
        <is>
          <t>Ds/Dc</t>
        </is>
      </c>
      <c r="E196" s="2" t="n">
        <v>3</v>
      </c>
      <c r="F196" s="2" t="n">
        <v>0.75</v>
      </c>
      <c r="G196" s="2" t="n">
        <v>0.5</v>
      </c>
      <c r="H196" s="8" t="inlineStr">
        <is>
          <t>🔴 Infortunato/Dubbio</t>
        </is>
      </c>
      <c r="I196" s="2">
        <f>MAX(1,TRUNC(L196*(Impostazioni!$B$2/500)*1*M196*INDEX(Impostazioni!$E$23:$E$29,MATCH(H196,Impostazioni!$D$23:$D$29,0))))</f>
        <v/>
      </c>
      <c r="J196" s="9">
        <f>MAX(1,TRUNC(L196*(Impostazioni!$B$2/500)*INDEX(Motore!$A$5:$H$8,MATCH(C196,Motore!$A$5:$A$8,0),8)*M196*INDEX(Impostazioni!$E$23:$E$29,MATCH(H196,Impostazioni!$D$23:$D$29,0))))</f>
        <v/>
      </c>
      <c r="K196" s="2" t="inlineStr">
        <is>
          <t>Scommessa / Sconosciuto</t>
        </is>
      </c>
      <c r="L196" s="2" t="n">
        <v>1</v>
      </c>
      <c r="M196" s="2" t="n">
        <v>1</v>
      </c>
    </row>
    <row r="197">
      <c r="A197" s="2" t="inlineStr">
        <is>
          <t>Carboni A.</t>
        </is>
      </c>
      <c r="B197" s="2" t="inlineStr">
        <is>
          <t>Monza</t>
        </is>
      </c>
      <c r="C197" s="2" t="inlineStr">
        <is>
          <t>D</t>
        </is>
      </c>
      <c r="D197" s="2" t="inlineStr">
        <is>
          <t>Ds/Dc</t>
        </is>
      </c>
      <c r="E197" s="2" t="n">
        <v>3</v>
      </c>
      <c r="F197" s="2" t="n">
        <v>1.3</v>
      </c>
      <c r="G197" s="2" t="n">
        <v>0.5</v>
      </c>
      <c r="H197" s="8" t="inlineStr">
        <is>
          <t>Normale</t>
        </is>
      </c>
      <c r="I197" s="2">
        <f>MAX(1,TRUNC(L197*(Impostazioni!$B$2/500)*1*M197*INDEX(Impostazioni!$E$23:$E$29,MATCH(H197,Impostazioni!$D$23:$D$29,0))))</f>
        <v/>
      </c>
      <c r="J197" s="9">
        <f>MAX(1,TRUNC(L197*(Impostazioni!$B$2/500)*INDEX(Motore!$A$5:$H$8,MATCH(C197,Motore!$A$5:$A$8,0),8)*M197*INDEX(Impostazioni!$E$23:$E$29,MATCH(H197,Impostazioni!$D$23:$D$29,0))))</f>
        <v/>
      </c>
      <c r="K197" s="2" t="inlineStr">
        <is>
          <t>Scommessa / Sconosciuto</t>
        </is>
      </c>
      <c r="L197" s="2" t="n">
        <v>1</v>
      </c>
      <c r="M197" s="2" t="n">
        <v>0.85</v>
      </c>
    </row>
    <row r="198">
      <c r="A198" s="2" t="inlineStr">
        <is>
          <t>Casale</t>
        </is>
      </c>
      <c r="B198" s="2" t="inlineStr">
        <is>
          <t>Bologna</t>
        </is>
      </c>
      <c r="C198" s="2" t="inlineStr">
        <is>
          <t>D</t>
        </is>
      </c>
      <c r="D198" s="2" t="inlineStr">
        <is>
          <t>Dc</t>
        </is>
      </c>
      <c r="E198" s="2" t="n">
        <v>3</v>
      </c>
      <c r="F198" s="2" t="n">
        <v>1</v>
      </c>
      <c r="G198" s="2" t="n">
        <v>0.5</v>
      </c>
      <c r="H198" s="8" t="inlineStr">
        <is>
          <t>🔴 Infortunato/Dubbio</t>
        </is>
      </c>
      <c r="I198" s="2">
        <f>MAX(1,TRUNC(L198*(Impostazioni!$B$2/500)*1*M198*INDEX(Impostazioni!$E$23:$E$29,MATCH(H198,Impostazioni!$D$23:$D$29,0))))</f>
        <v/>
      </c>
      <c r="J198" s="9">
        <f>MAX(1,TRUNC(L198*(Impostazioni!$B$2/500)*INDEX(Motore!$A$5:$H$8,MATCH(C198,Motore!$A$5:$A$8,0),8)*M198*INDEX(Impostazioni!$E$23:$E$29,MATCH(H198,Impostazioni!$D$23:$D$29,0))))</f>
        <v/>
      </c>
      <c r="K198" s="2" t="inlineStr">
        <is>
          <t>Scommessa / Sconosciuto</t>
        </is>
      </c>
      <c r="L198" s="2" t="n">
        <v>1</v>
      </c>
      <c r="M198" s="2" t="n">
        <v>1.08</v>
      </c>
    </row>
    <row r="199">
      <c r="A199" s="2" t="inlineStr">
        <is>
          <t>Drameh</t>
        </is>
      </c>
      <c r="B199" s="2" t="inlineStr">
        <is>
          <t>Genoa</t>
        </is>
      </c>
      <c r="C199" s="2" t="inlineStr">
        <is>
          <t>D</t>
        </is>
      </c>
      <c r="D199" s="2" t="inlineStr">
        <is>
          <t>Dd/Ds/E</t>
        </is>
      </c>
      <c r="E199" s="2" t="n">
        <v>3</v>
      </c>
      <c r="F199" s="2" t="n">
        <v>1.6</v>
      </c>
      <c r="G199" s="2" t="n">
        <v>1.85</v>
      </c>
      <c r="H199" s="8" t="inlineStr">
        <is>
          <t>Normale</t>
        </is>
      </c>
      <c r="I199" s="2">
        <f>MAX(1,TRUNC(L199*(Impostazioni!$B$2/500)*1*M199*INDEX(Impostazioni!$E$23:$E$29,MATCH(H199,Impostazioni!$D$23:$D$29,0))))</f>
        <v/>
      </c>
      <c r="J199" s="9">
        <f>MAX(1,TRUNC(L199*(Impostazioni!$B$2/500)*INDEX(Motore!$A$5:$H$8,MATCH(C199,Motore!$A$5:$A$8,0),8)*M199*INDEX(Impostazioni!$E$23:$E$29,MATCH(H199,Impostazioni!$D$23:$D$29,0))))</f>
        <v/>
      </c>
      <c r="K199" s="2" t="inlineStr">
        <is>
          <t>Scommessa / Sconosciuto</t>
        </is>
      </c>
      <c r="L199" s="2" t="n">
        <v>1</v>
      </c>
      <c r="M199" s="2" t="n">
        <v>1</v>
      </c>
    </row>
    <row r="200">
      <c r="A200" s="2" t="inlineStr">
        <is>
          <t>Ebosse</t>
        </is>
      </c>
      <c r="B200" s="2" t="inlineStr">
        <is>
          <t>Udinese</t>
        </is>
      </c>
      <c r="C200" s="2" t="inlineStr">
        <is>
          <t>D</t>
        </is>
      </c>
      <c r="D200" s="2" t="inlineStr">
        <is>
          <t>Ds/Dc</t>
        </is>
      </c>
      <c r="E200" s="2" t="n">
        <v>3</v>
      </c>
      <c r="F200" s="2" t="n">
        <v>1</v>
      </c>
      <c r="G200" s="2" t="n">
        <v>0.5</v>
      </c>
      <c r="H200" s="8" t="inlineStr">
        <is>
          <t>🪑 Riserva Fissa (da fasciaFc)</t>
        </is>
      </c>
      <c r="I200" s="2">
        <f>MAX(1,TRUNC(L200*(Impostazioni!$B$2/500)*1*M200*INDEX(Impostazioni!$E$23:$E$29,MATCH(H200,Impostazioni!$D$23:$D$29,0))))</f>
        <v/>
      </c>
      <c r="J200" s="9">
        <f>MAX(1,TRUNC(L200*(Impostazioni!$B$2/500)*INDEX(Motore!$A$5:$H$8,MATCH(C200,Motore!$A$5:$A$8,0),8)*M200*INDEX(Impostazioni!$E$23:$E$29,MATCH(H200,Impostazioni!$D$23:$D$29,0))))</f>
        <v/>
      </c>
      <c r="K200" s="2" t="inlineStr">
        <is>
          <t>Scommessa / Sconosciuto</t>
        </is>
      </c>
      <c r="L200" s="2" t="n">
        <v>1</v>
      </c>
      <c r="M200" s="2" t="n">
        <v>1</v>
      </c>
    </row>
    <row r="201">
      <c r="A201" s="2" t="inlineStr">
        <is>
          <t>Estupinan</t>
        </is>
      </c>
      <c r="B201" s="2" t="inlineStr">
        <is>
          <t>Milan</t>
        </is>
      </c>
      <c r="C201" s="2" t="inlineStr">
        <is>
          <t>D</t>
        </is>
      </c>
      <c r="D201" s="2" t="inlineStr">
        <is>
          <t>Ds/E</t>
        </is>
      </c>
      <c r="E201" s="2" t="n">
        <v>3</v>
      </c>
      <c r="F201" s="2" t="n">
        <v>1.1</v>
      </c>
      <c r="G201" s="2" t="n">
        <v>0.5</v>
      </c>
      <c r="H201" s="8" t="inlineStr">
        <is>
          <t>🟡 Ballottaggio</t>
        </is>
      </c>
      <c r="I201" s="2">
        <f>MAX(1,TRUNC(L201*(Impostazioni!$B$2/500)*1*M201*INDEX(Impostazioni!$E$23:$E$29,MATCH(H201,Impostazioni!$D$23:$D$29,0))))</f>
        <v/>
      </c>
      <c r="J201" s="9">
        <f>MAX(1,TRUNC(L201*(Impostazioni!$B$2/500)*INDEX(Motore!$A$5:$H$8,MATCH(C201,Motore!$A$5:$A$8,0),8)*M201*INDEX(Impostazioni!$E$23:$E$29,MATCH(H201,Impostazioni!$D$23:$D$29,0))))</f>
        <v/>
      </c>
      <c r="K201" s="2" t="inlineStr">
        <is>
          <t>Scommessa / Sconosciuto</t>
        </is>
      </c>
      <c r="L201" s="2" t="n">
        <v>1</v>
      </c>
      <c r="M201" s="2" t="n">
        <v>1.09</v>
      </c>
    </row>
    <row r="202">
      <c r="A202" s="2" t="inlineStr">
        <is>
          <t>Franjic</t>
        </is>
      </c>
      <c r="B202" s="2" t="inlineStr">
        <is>
          <t>Venezia</t>
        </is>
      </c>
      <c r="C202" s="2" t="inlineStr">
        <is>
          <t>D</t>
        </is>
      </c>
      <c r="D202" s="2" t="inlineStr">
        <is>
          <t>B/Ds/E</t>
        </is>
      </c>
      <c r="E202" s="2" t="n">
        <v>3</v>
      </c>
      <c r="F202" s="2" t="n">
        <v>1.25</v>
      </c>
      <c r="G202" s="2" t="n">
        <v>0.5</v>
      </c>
      <c r="H202" s="8" t="inlineStr">
        <is>
          <t>🔴 Infortunato/Dubbio</t>
        </is>
      </c>
      <c r="I202" s="2">
        <f>MAX(1,TRUNC(L202*(Impostazioni!$B$2/500)*1*M202*INDEX(Impostazioni!$E$23:$E$29,MATCH(H202,Impostazioni!$D$23:$D$29,0))))</f>
        <v/>
      </c>
      <c r="J202" s="9">
        <f>MAX(1,TRUNC(L202*(Impostazioni!$B$2/500)*INDEX(Motore!$A$5:$H$8,MATCH(C202,Motore!$A$5:$A$8,0),8)*M202*INDEX(Impostazioni!$E$23:$E$29,MATCH(H202,Impostazioni!$D$23:$D$29,0))))</f>
        <v/>
      </c>
      <c r="K202" s="2" t="inlineStr">
        <is>
          <t>Scommessa / Sconosciuto</t>
        </is>
      </c>
      <c r="L202" s="2" t="n">
        <v>1</v>
      </c>
      <c r="M202" s="2" t="n">
        <v>0.85</v>
      </c>
    </row>
    <row r="203">
      <c r="A203" s="2" t="inlineStr">
        <is>
          <t>Halhal</t>
        </is>
      </c>
      <c r="B203" s="2" t="inlineStr">
        <is>
          <t>Venezia</t>
        </is>
      </c>
      <c r="C203" s="2" t="inlineStr">
        <is>
          <t>D</t>
        </is>
      </c>
      <c r="D203" s="2" t="inlineStr">
        <is>
          <t>Dc</t>
        </is>
      </c>
      <c r="E203" s="2" t="n">
        <v>3</v>
      </c>
      <c r="F203" s="2" t="n">
        <v>1</v>
      </c>
      <c r="G203" s="2" t="n">
        <v>0.5</v>
      </c>
      <c r="H203" s="8" t="inlineStr">
        <is>
          <t>🪑 Riserva Fissa (da fasciaFc)</t>
        </is>
      </c>
      <c r="I203" s="2">
        <f>MAX(1,TRUNC(L203*(Impostazioni!$B$2/500)*1*M203*INDEX(Impostazioni!$E$23:$E$29,MATCH(H203,Impostazioni!$D$23:$D$29,0))))</f>
        <v/>
      </c>
      <c r="J203" s="9">
        <f>MAX(1,TRUNC(L203*(Impostazioni!$B$2/500)*INDEX(Motore!$A$5:$H$8,MATCH(C203,Motore!$A$5:$A$8,0),8)*M203*INDEX(Impostazioni!$E$23:$E$29,MATCH(H203,Impostazioni!$D$23:$D$29,0))))</f>
        <v/>
      </c>
      <c r="K203" s="2" t="inlineStr">
        <is>
          <t>Scommessa / Sconosciuto</t>
        </is>
      </c>
      <c r="L203" s="2" t="n">
        <v>1</v>
      </c>
      <c r="M203" s="2" t="n">
        <v>0.85</v>
      </c>
    </row>
    <row r="204">
      <c r="A204" s="2" t="inlineStr">
        <is>
          <t>Helland</t>
        </is>
      </c>
      <c r="B204" s="2" t="inlineStr">
        <is>
          <t>Bologna</t>
        </is>
      </c>
      <c r="C204" s="2" t="inlineStr">
        <is>
          <t>D</t>
        </is>
      </c>
      <c r="D204" s="2" t="inlineStr">
        <is>
          <t>Dd/Dc</t>
        </is>
      </c>
      <c r="E204" s="2" t="n">
        <v>3</v>
      </c>
      <c r="F204" s="2" t="n">
        <v>1.3</v>
      </c>
      <c r="G204" s="2" t="n">
        <v>0.5</v>
      </c>
      <c r="H204" s="8" t="inlineStr">
        <is>
          <t>Normale</t>
        </is>
      </c>
      <c r="I204" s="2">
        <f>MAX(1,TRUNC(L204*(Impostazioni!$B$2/500)*1*M204*INDEX(Impostazioni!$E$23:$E$29,MATCH(H204,Impostazioni!$D$23:$D$29,0))))</f>
        <v/>
      </c>
      <c r="J204" s="9">
        <f>MAX(1,TRUNC(L204*(Impostazioni!$B$2/500)*INDEX(Motore!$A$5:$H$8,MATCH(C204,Motore!$A$5:$A$8,0),8)*M204*INDEX(Impostazioni!$E$23:$E$29,MATCH(H204,Impostazioni!$D$23:$D$29,0))))</f>
        <v/>
      </c>
      <c r="K204" s="2" t="inlineStr">
        <is>
          <t>Scommessa / Sconosciuto</t>
        </is>
      </c>
      <c r="L204" s="2" t="n">
        <v>1</v>
      </c>
      <c r="M204" s="2" t="n">
        <v>1.08</v>
      </c>
    </row>
    <row r="205">
      <c r="A205" s="2" t="inlineStr">
        <is>
          <t>Idrissi R.</t>
        </is>
      </c>
      <c r="B205" s="2" t="inlineStr">
        <is>
          <t>Cagliari</t>
        </is>
      </c>
      <c r="C205" s="2" t="inlineStr">
        <is>
          <t>D</t>
        </is>
      </c>
      <c r="D205" s="2" t="inlineStr">
        <is>
          <t>Ds/E</t>
        </is>
      </c>
      <c r="E205" s="2" t="n">
        <v>3</v>
      </c>
      <c r="F205" s="2" t="n">
        <v>0.85</v>
      </c>
      <c r="G205" s="2" t="n">
        <v>0.5</v>
      </c>
      <c r="H205" s="8" t="inlineStr">
        <is>
          <t>🔴 Infortunato/Dubbio</t>
        </is>
      </c>
      <c r="I205" s="2">
        <f>MAX(1,TRUNC(L205*(Impostazioni!$B$2/500)*1*M205*INDEX(Impostazioni!$E$23:$E$29,MATCH(H205,Impostazioni!$D$23:$D$29,0))))</f>
        <v/>
      </c>
      <c r="J205" s="9">
        <f>MAX(1,TRUNC(L205*(Impostazioni!$B$2/500)*INDEX(Motore!$A$5:$H$8,MATCH(C205,Motore!$A$5:$A$8,0),8)*M205*INDEX(Impostazioni!$E$23:$E$29,MATCH(H205,Impostazioni!$D$23:$D$29,0))))</f>
        <v/>
      </c>
      <c r="K205" s="2" t="inlineStr">
        <is>
          <t>Scommessa / Sconosciuto</t>
        </is>
      </c>
      <c r="L205" s="2" t="n">
        <v>1</v>
      </c>
      <c r="M205" s="2" t="n">
        <v>1</v>
      </c>
    </row>
    <row r="206">
      <c r="A206" s="2" t="inlineStr">
        <is>
          <t>Joao Mario</t>
        </is>
      </c>
      <c r="B206" s="2" t="inlineStr">
        <is>
          <t>Fiorentina</t>
        </is>
      </c>
      <c r="C206" s="2" t="inlineStr">
        <is>
          <t>D</t>
        </is>
      </c>
      <c r="D206" s="2" t="inlineStr">
        <is>
          <t>Dd/E</t>
        </is>
      </c>
      <c r="E206" s="2" t="n">
        <v>3</v>
      </c>
      <c r="F206" s="2" t="n">
        <v>1.3</v>
      </c>
      <c r="G206" s="2" t="n">
        <v>0.5</v>
      </c>
      <c r="H206" s="8" t="inlineStr">
        <is>
          <t>Normale</t>
        </is>
      </c>
      <c r="I206" s="2">
        <f>MAX(1,TRUNC(L206*(Impostazioni!$B$2/500)*1*M206*INDEX(Impostazioni!$E$23:$E$29,MATCH(H206,Impostazioni!$D$23:$D$29,0))))</f>
        <v/>
      </c>
      <c r="J206" s="9">
        <f>MAX(1,TRUNC(L206*(Impostazioni!$B$2/500)*INDEX(Motore!$A$5:$H$8,MATCH(C206,Motore!$A$5:$A$8,0),8)*M206*INDEX(Impostazioni!$E$23:$E$29,MATCH(H206,Impostazioni!$D$23:$D$29,0))))</f>
        <v/>
      </c>
      <c r="K206" s="2" t="inlineStr">
        <is>
          <t>Scommessa / Sconosciuto</t>
        </is>
      </c>
      <c r="L206" s="2" t="n">
        <v>1</v>
      </c>
      <c r="M206" s="2" t="n">
        <v>1</v>
      </c>
    </row>
    <row r="207">
      <c r="A207" s="2" t="inlineStr">
        <is>
          <t>Kambwala</t>
        </is>
      </c>
      <c r="B207" s="2" t="inlineStr">
        <is>
          <t>Como</t>
        </is>
      </c>
      <c r="C207" s="2" t="inlineStr">
        <is>
          <t>D</t>
        </is>
      </c>
      <c r="D207" s="2" t="inlineStr">
        <is>
          <t>Dd/Dc</t>
        </is>
      </c>
      <c r="E207" s="2" t="n">
        <v>3</v>
      </c>
      <c r="F207" s="2" t="n">
        <v>1.05</v>
      </c>
      <c r="G207" s="2" t="n">
        <v>0.5</v>
      </c>
      <c r="H207" s="8" t="inlineStr">
        <is>
          <t>Normale</t>
        </is>
      </c>
      <c r="I207" s="2">
        <f>MAX(1,TRUNC(L207*(Impostazioni!$B$2/500)*1*M207*INDEX(Impostazioni!$E$23:$E$29,MATCH(H207,Impostazioni!$D$23:$D$29,0))))</f>
        <v/>
      </c>
      <c r="J207" s="9">
        <f>MAX(1,TRUNC(L207*(Impostazioni!$B$2/500)*INDEX(Motore!$A$5:$H$8,MATCH(C207,Motore!$A$5:$A$8,0),8)*M207*INDEX(Impostazioni!$E$23:$E$29,MATCH(H207,Impostazioni!$D$23:$D$29,0))))</f>
        <v/>
      </c>
      <c r="K207" s="2" t="inlineStr">
        <is>
          <t>Scommessa / Sconosciuto</t>
        </is>
      </c>
      <c r="L207" s="2" t="n">
        <v>1</v>
      </c>
      <c r="M207" s="2" t="n">
        <v>1.19</v>
      </c>
    </row>
    <row r="208">
      <c r="A208" s="2" t="inlineStr">
        <is>
          <t>Kouadio</t>
        </is>
      </c>
      <c r="B208" s="2" t="inlineStr">
        <is>
          <t>Monza</t>
        </is>
      </c>
      <c r="C208" s="2" t="inlineStr">
        <is>
          <t>D</t>
        </is>
      </c>
      <c r="D208" s="2" t="inlineStr">
        <is>
          <t>Dd/Dc</t>
        </is>
      </c>
      <c r="E208" s="2" t="n">
        <v>3</v>
      </c>
      <c r="F208" s="2" t="n">
        <v>1.15</v>
      </c>
      <c r="G208" s="2" t="n">
        <v>0.5</v>
      </c>
      <c r="H208" s="8" t="inlineStr">
        <is>
          <t>🪑 Riserva Fissa (da fasciaFc)</t>
        </is>
      </c>
      <c r="I208" s="2">
        <f>MAX(1,TRUNC(L208*(Impostazioni!$B$2/500)*1*M208*INDEX(Impostazioni!$E$23:$E$29,MATCH(H208,Impostazioni!$D$23:$D$29,0))))</f>
        <v/>
      </c>
      <c r="J208" s="9">
        <f>MAX(1,TRUNC(L208*(Impostazioni!$B$2/500)*INDEX(Motore!$A$5:$H$8,MATCH(C208,Motore!$A$5:$A$8,0),8)*M208*INDEX(Impostazioni!$E$23:$E$29,MATCH(H208,Impostazioni!$D$23:$D$29,0))))</f>
        <v/>
      </c>
      <c r="K208" s="2" t="inlineStr">
        <is>
          <t>Scommessa / Sconosciuto</t>
        </is>
      </c>
      <c r="L208" s="2" t="n">
        <v>1</v>
      </c>
      <c r="M208" s="2" t="n">
        <v>0.85</v>
      </c>
    </row>
    <row r="209">
      <c r="A209" s="2" t="inlineStr">
        <is>
          <t>Lucchesi</t>
        </is>
      </c>
      <c r="B209" s="2" t="inlineStr">
        <is>
          <t>Monza</t>
        </is>
      </c>
      <c r="C209" s="2" t="inlineStr">
        <is>
          <t>D</t>
        </is>
      </c>
      <c r="D209" s="2" t="inlineStr">
        <is>
          <t>Dc</t>
        </is>
      </c>
      <c r="E209" s="2" t="n">
        <v>3</v>
      </c>
      <c r="F209" s="2" t="n">
        <v>1.15</v>
      </c>
      <c r="G209" s="2" t="n">
        <v>0.5</v>
      </c>
      <c r="H209" s="8" t="inlineStr">
        <is>
          <t>🟡 Ballottaggio</t>
        </is>
      </c>
      <c r="I209" s="2">
        <f>MAX(1,TRUNC(L209*(Impostazioni!$B$2/500)*1*M209*INDEX(Impostazioni!$E$23:$E$29,MATCH(H209,Impostazioni!$D$23:$D$29,0))))</f>
        <v/>
      </c>
      <c r="J209" s="9">
        <f>MAX(1,TRUNC(L209*(Impostazioni!$B$2/500)*INDEX(Motore!$A$5:$H$8,MATCH(C209,Motore!$A$5:$A$8,0),8)*M209*INDEX(Impostazioni!$E$23:$E$29,MATCH(H209,Impostazioni!$D$23:$D$29,0))))</f>
        <v/>
      </c>
      <c r="K209" s="2" t="inlineStr">
        <is>
          <t>Scommessa / Sconosciuto</t>
        </is>
      </c>
      <c r="L209" s="2" t="n">
        <v>1</v>
      </c>
      <c r="M209" s="2" t="n">
        <v>0.85</v>
      </c>
    </row>
    <row r="210">
      <c r="A210" s="2" t="inlineStr">
        <is>
          <t>Odenthal</t>
        </is>
      </c>
      <c r="B210" s="2" t="inlineStr">
        <is>
          <t>Sassuolo</t>
        </is>
      </c>
      <c r="C210" s="2" t="inlineStr">
        <is>
          <t>D</t>
        </is>
      </c>
      <c r="D210" s="2" t="inlineStr">
        <is>
          <t>Dc</t>
        </is>
      </c>
      <c r="E210" s="2" t="n">
        <v>3</v>
      </c>
      <c r="F210" s="2" t="n">
        <v>1.15</v>
      </c>
      <c r="G210" s="2" t="n">
        <v>0.5</v>
      </c>
      <c r="H210" s="8" t="inlineStr">
        <is>
          <t>🪑 Riserva Fissa (da fasciaFc)</t>
        </is>
      </c>
      <c r="I210" s="2">
        <f>MAX(1,TRUNC(L210*(Impostazioni!$B$2/500)*1*M210*INDEX(Impostazioni!$E$23:$E$29,MATCH(H210,Impostazioni!$D$23:$D$29,0))))</f>
        <v/>
      </c>
      <c r="J210" s="9">
        <f>MAX(1,TRUNC(L210*(Impostazioni!$B$2/500)*INDEX(Motore!$A$5:$H$8,MATCH(C210,Motore!$A$5:$A$8,0),8)*M210*INDEX(Impostazioni!$E$23:$E$29,MATCH(H210,Impostazioni!$D$23:$D$29,0))))</f>
        <v/>
      </c>
      <c r="K210" s="2" t="inlineStr">
        <is>
          <t>Scommessa / Sconosciuto</t>
        </is>
      </c>
      <c r="L210" s="2" t="n">
        <v>1</v>
      </c>
      <c r="M210" s="2" t="n">
        <v>1</v>
      </c>
    </row>
    <row r="211">
      <c r="A211" s="2" t="inlineStr">
        <is>
          <t>Palma</t>
        </is>
      </c>
      <c r="B211" s="2" t="inlineStr">
        <is>
          <t>Udinese</t>
        </is>
      </c>
      <c r="C211" s="2" t="inlineStr">
        <is>
          <t>D</t>
        </is>
      </c>
      <c r="D211" s="2" t="inlineStr">
        <is>
          <t>Dc</t>
        </is>
      </c>
      <c r="E211" s="2" t="n">
        <v>3</v>
      </c>
      <c r="F211" s="2" t="n">
        <v>1.3</v>
      </c>
      <c r="G211" s="2" t="n">
        <v>0.5</v>
      </c>
      <c r="H211" s="8" t="inlineStr">
        <is>
          <t>🔴 Infortunato/Dubbio</t>
        </is>
      </c>
      <c r="I211" s="2">
        <f>MAX(1,TRUNC(L211*(Impostazioni!$B$2/500)*1*M211*INDEX(Impostazioni!$E$23:$E$29,MATCH(H211,Impostazioni!$D$23:$D$29,0))))</f>
        <v/>
      </c>
      <c r="J211" s="9">
        <f>MAX(1,TRUNC(L211*(Impostazioni!$B$2/500)*INDEX(Motore!$A$5:$H$8,MATCH(C211,Motore!$A$5:$A$8,0),8)*M211*INDEX(Impostazioni!$E$23:$E$29,MATCH(H211,Impostazioni!$D$23:$D$29,0))))</f>
        <v/>
      </c>
      <c r="K211" s="2" t="inlineStr">
        <is>
          <t>Scommessa / Sconosciuto</t>
        </is>
      </c>
      <c r="L211" s="2" t="n">
        <v>1</v>
      </c>
      <c r="M211" s="2" t="n">
        <v>1</v>
      </c>
    </row>
    <row r="212">
      <c r="A212" s="2" t="inlineStr">
        <is>
          <t>Ranieri L.</t>
        </is>
      </c>
      <c r="B212" s="2" t="inlineStr">
        <is>
          <t>Fiorentina</t>
        </is>
      </c>
      <c r="C212" s="2" t="inlineStr">
        <is>
          <t>D</t>
        </is>
      </c>
      <c r="D212" s="2" t="inlineStr">
        <is>
          <t>Ds/Dc</t>
        </is>
      </c>
      <c r="E212" s="2" t="n">
        <v>3</v>
      </c>
      <c r="F212" s="2" t="n">
        <v>1.3</v>
      </c>
      <c r="G212" s="2" t="n">
        <v>0.5</v>
      </c>
      <c r="H212" s="8" t="inlineStr">
        <is>
          <t>🪑 Riserva Fissa (da fasciaFc)</t>
        </is>
      </c>
      <c r="I212" s="2">
        <f>MAX(1,TRUNC(L212*(Impostazioni!$B$2/500)*1*M212*INDEX(Impostazioni!$E$23:$E$29,MATCH(H212,Impostazioni!$D$23:$D$29,0))))</f>
        <v/>
      </c>
      <c r="J212" s="9">
        <f>MAX(1,TRUNC(L212*(Impostazioni!$B$2/500)*INDEX(Motore!$A$5:$H$8,MATCH(C212,Motore!$A$5:$A$8,0),8)*M212*INDEX(Impostazioni!$E$23:$E$29,MATCH(H212,Impostazioni!$D$23:$D$29,0))))</f>
        <v/>
      </c>
      <c r="K212" s="2" t="inlineStr">
        <is>
          <t>Scommessa / Sconosciuto</t>
        </is>
      </c>
      <c r="L212" s="2" t="n">
        <v>1</v>
      </c>
      <c r="M212" s="2" t="n">
        <v>1</v>
      </c>
    </row>
    <row r="213">
      <c r="A213" s="2" t="inlineStr">
        <is>
          <t>Schingtienne</t>
        </is>
      </c>
      <c r="B213" s="2" t="inlineStr">
        <is>
          <t>Venezia</t>
        </is>
      </c>
      <c r="C213" s="2" t="inlineStr">
        <is>
          <t>D</t>
        </is>
      </c>
      <c r="D213" s="2" t="inlineStr">
        <is>
          <t>Dc</t>
        </is>
      </c>
      <c r="E213" s="2" t="n">
        <v>3</v>
      </c>
      <c r="F213" s="2" t="n">
        <v>1</v>
      </c>
      <c r="G213" s="2" t="n">
        <v>0.5</v>
      </c>
      <c r="H213" s="8" t="inlineStr">
        <is>
          <t>Normale</t>
        </is>
      </c>
      <c r="I213" s="2">
        <f>MAX(1,TRUNC(L213*(Impostazioni!$B$2/500)*1*M213*INDEX(Impostazioni!$E$23:$E$29,MATCH(H213,Impostazioni!$D$23:$D$29,0))))</f>
        <v/>
      </c>
      <c r="J213" s="9">
        <f>MAX(1,TRUNC(L213*(Impostazioni!$B$2/500)*INDEX(Motore!$A$5:$H$8,MATCH(C213,Motore!$A$5:$A$8,0),8)*M213*INDEX(Impostazioni!$E$23:$E$29,MATCH(H213,Impostazioni!$D$23:$D$29,0))))</f>
        <v/>
      </c>
      <c r="K213" s="2" t="inlineStr">
        <is>
          <t>Scommessa / Sconosciuto</t>
        </is>
      </c>
      <c r="L213" s="2" t="n">
        <v>1</v>
      </c>
      <c r="M213" s="2" t="n">
        <v>0.85</v>
      </c>
    </row>
    <row r="214">
      <c r="A214" s="2" t="inlineStr">
        <is>
          <t>Sverko</t>
        </is>
      </c>
      <c r="B214" s="2" t="inlineStr">
        <is>
          <t>Venezia</t>
        </is>
      </c>
      <c r="C214" s="2" t="inlineStr">
        <is>
          <t>D</t>
        </is>
      </c>
      <c r="D214" s="2" t="inlineStr">
        <is>
          <t>Dc;Ds</t>
        </is>
      </c>
      <c r="E214" s="2" t="n">
        <v>3</v>
      </c>
      <c r="F214" s="2" t="n">
        <v>0.5</v>
      </c>
      <c r="G214" s="2" t="n">
        <v>0.5</v>
      </c>
      <c r="H214" s="8" t="inlineStr">
        <is>
          <t>🔴 Infortunato/Dubbio</t>
        </is>
      </c>
      <c r="I214" s="2">
        <f>MAX(1,TRUNC(L214*(Impostazioni!$B$2/500)*1*M214*INDEX(Impostazioni!$E$23:$E$29,MATCH(H214,Impostazioni!$D$23:$D$29,0))))</f>
        <v/>
      </c>
      <c r="J214" s="9">
        <f>MAX(1,TRUNC(L214*(Impostazioni!$B$2/500)*INDEX(Motore!$A$5:$H$8,MATCH(C214,Motore!$A$5:$A$8,0),8)*M214*INDEX(Impostazioni!$E$23:$E$29,MATCH(H214,Impostazioni!$D$23:$D$29,0))))</f>
        <v/>
      </c>
      <c r="K214" s="2" t="inlineStr">
        <is>
          <t>Scommessa / Sconosciuto</t>
        </is>
      </c>
      <c r="L214" s="2" t="n">
        <v>1</v>
      </c>
      <c r="M214" s="2" t="n">
        <v>0.85</v>
      </c>
    </row>
    <row r="215">
      <c r="A215" s="2" t="inlineStr">
        <is>
          <t>Tchato</t>
        </is>
      </c>
      <c r="B215" s="2" t="inlineStr">
        <is>
          <t>Frosinone</t>
        </is>
      </c>
      <c r="C215" s="2" t="inlineStr">
        <is>
          <t>D</t>
        </is>
      </c>
      <c r="D215" s="2" t="inlineStr">
        <is>
          <t>Dd;E</t>
        </is>
      </c>
      <c r="E215" s="2" t="n">
        <v>3</v>
      </c>
      <c r="F215" s="2" t="n">
        <v>0.5</v>
      </c>
      <c r="G215" s="2" t="n">
        <v>0.5</v>
      </c>
      <c r="H215" s="8" t="inlineStr">
        <is>
          <t>Normale</t>
        </is>
      </c>
      <c r="I215" s="2">
        <f>MAX(1,TRUNC(L215*(Impostazioni!$B$2/500)*1*M215*INDEX(Impostazioni!$E$23:$E$29,MATCH(H215,Impostazioni!$D$23:$D$29,0))))</f>
        <v/>
      </c>
      <c r="J215" s="9">
        <f>MAX(1,TRUNC(L215*(Impostazioni!$B$2/500)*INDEX(Motore!$A$5:$H$8,MATCH(C215,Motore!$A$5:$A$8,0),8)*M215*INDEX(Impostazioni!$E$23:$E$29,MATCH(H215,Impostazioni!$D$23:$D$29,0))))</f>
        <v/>
      </c>
      <c r="K215" s="2" t="inlineStr">
        <is>
          <t>Scommessa / Sconosciuto</t>
        </is>
      </c>
      <c r="L215" s="2" t="n">
        <v>1</v>
      </c>
      <c r="M215" s="2" t="n">
        <v>0.85</v>
      </c>
    </row>
    <row r="216">
      <c r="A216" s="2" t="inlineStr">
        <is>
          <t>Troilo</t>
        </is>
      </c>
      <c r="B216" s="2" t="inlineStr">
        <is>
          <t>Parma</t>
        </is>
      </c>
      <c r="C216" s="2" t="inlineStr">
        <is>
          <t>D</t>
        </is>
      </c>
      <c r="D216" s="2" t="inlineStr">
        <is>
          <t>Dc</t>
        </is>
      </c>
      <c r="E216" s="2" t="n">
        <v>3</v>
      </c>
      <c r="F216" s="2" t="n">
        <v>1.45</v>
      </c>
      <c r="G216" s="2" t="n">
        <v>0.5</v>
      </c>
      <c r="H216" s="8" t="inlineStr">
        <is>
          <t>Normale</t>
        </is>
      </c>
      <c r="I216" s="2">
        <f>MAX(1,TRUNC(L216*(Impostazioni!$B$2/500)*1*M216*INDEX(Impostazioni!$E$23:$E$29,MATCH(H216,Impostazioni!$D$23:$D$29,0))))</f>
        <v/>
      </c>
      <c r="J216" s="9">
        <f>MAX(1,TRUNC(L216*(Impostazioni!$B$2/500)*INDEX(Motore!$A$5:$H$8,MATCH(C216,Motore!$A$5:$A$8,0),8)*M216*INDEX(Impostazioni!$E$23:$E$29,MATCH(H216,Impostazioni!$D$23:$D$29,0))))</f>
        <v/>
      </c>
      <c r="K216" s="2" t="inlineStr">
        <is>
          <t>Scommessa / Sconosciuto</t>
        </is>
      </c>
      <c r="L216" s="2" t="n">
        <v>1</v>
      </c>
      <c r="M216" s="2" t="n">
        <v>1</v>
      </c>
    </row>
    <row r="217">
      <c r="A217" s="2" t="inlineStr">
        <is>
          <t>Abankwah</t>
        </is>
      </c>
      <c r="B217" s="2" t="inlineStr">
        <is>
          <t>Udinese</t>
        </is>
      </c>
      <c r="C217" s="2" t="inlineStr">
        <is>
          <t>D</t>
        </is>
      </c>
      <c r="D217" s="2" t="inlineStr">
        <is>
          <t>Dd/Dc</t>
        </is>
      </c>
      <c r="E217" s="2" t="n">
        <v>2</v>
      </c>
      <c r="F217" s="2" t="n">
        <v>1.25</v>
      </c>
      <c r="G217" s="2" t="n">
        <v>0.5</v>
      </c>
      <c r="H217" s="8" t="inlineStr">
        <is>
          <t>🪑 Riserva Fissa (da fasciaFc)</t>
        </is>
      </c>
      <c r="I217" s="2">
        <f>MAX(1,TRUNC(L217*(Impostazioni!$B$2/500)*1*M217*INDEX(Impostazioni!$E$23:$E$29,MATCH(H217,Impostazioni!$D$23:$D$29,0))))</f>
        <v/>
      </c>
      <c r="J217" s="9">
        <f>MAX(1,TRUNC(L217*(Impostazioni!$B$2/500)*INDEX(Motore!$A$5:$H$8,MATCH(C217,Motore!$A$5:$A$8,0),8)*M217*INDEX(Impostazioni!$E$23:$E$29,MATCH(H217,Impostazioni!$D$23:$D$29,0))))</f>
        <v/>
      </c>
      <c r="K217" s="2" t="inlineStr">
        <is>
          <t>Scommessa / Sconosciuto</t>
        </is>
      </c>
      <c r="L217" s="2" t="n">
        <v>1</v>
      </c>
      <c r="M217" s="2" t="n">
        <v>1</v>
      </c>
    </row>
    <row r="218">
      <c r="A218" s="2" t="inlineStr">
        <is>
          <t>Alhassane</t>
        </is>
      </c>
      <c r="B218" s="2" t="inlineStr">
        <is>
          <t>Bologna</t>
        </is>
      </c>
      <c r="C218" s="2" t="inlineStr">
        <is>
          <t>D</t>
        </is>
      </c>
      <c r="D218" s="2" t="inlineStr">
        <is>
          <t>Ds/E</t>
        </is>
      </c>
      <c r="E218" s="2" t="n">
        <v>2</v>
      </c>
      <c r="F218" s="2" t="n">
        <v>0.95</v>
      </c>
      <c r="G218" s="2" t="n">
        <v>0.5</v>
      </c>
      <c r="H218" s="8" t="inlineStr">
        <is>
          <t>🟡 Ballottaggio</t>
        </is>
      </c>
      <c r="I218" s="2">
        <f>MAX(1,TRUNC(L218*(Impostazioni!$B$2/500)*1*M218*INDEX(Impostazioni!$E$23:$E$29,MATCH(H218,Impostazioni!$D$23:$D$29,0))))</f>
        <v/>
      </c>
      <c r="J218" s="9">
        <f>MAX(1,TRUNC(L218*(Impostazioni!$B$2/500)*INDEX(Motore!$A$5:$H$8,MATCH(C218,Motore!$A$5:$A$8,0),8)*M218*INDEX(Impostazioni!$E$23:$E$29,MATCH(H218,Impostazioni!$D$23:$D$29,0))))</f>
        <v/>
      </c>
      <c r="K218" s="2" t="inlineStr">
        <is>
          <t>Scommessa / Sconosciuto</t>
        </is>
      </c>
      <c r="L218" s="2" t="n">
        <v>1</v>
      </c>
      <c r="M218" s="2" t="n">
        <v>1.08</v>
      </c>
    </row>
    <row r="219">
      <c r="A219" s="2" t="inlineStr">
        <is>
          <t>Aurelio</t>
        </is>
      </c>
      <c r="B219" s="2" t="inlineStr">
        <is>
          <t>Cagliari</t>
        </is>
      </c>
      <c r="C219" s="2" t="inlineStr">
        <is>
          <t>D</t>
        </is>
      </c>
      <c r="D219" s="2" t="inlineStr">
        <is>
          <t>Ds;E</t>
        </is>
      </c>
      <c r="E219" s="2" t="n">
        <v>2</v>
      </c>
      <c r="F219" s="2" t="n">
        <v>0.5</v>
      </c>
      <c r="G219" s="2" t="n">
        <v>0.5</v>
      </c>
      <c r="H219" s="8" t="inlineStr">
        <is>
          <t>Normale</t>
        </is>
      </c>
      <c r="I219" s="2">
        <f>MAX(1,TRUNC(L219*(Impostazioni!$B$2/500)*1*M219*INDEX(Impostazioni!$E$23:$E$29,MATCH(H219,Impostazioni!$D$23:$D$29,0))))</f>
        <v/>
      </c>
      <c r="J219" s="9">
        <f>MAX(1,TRUNC(L219*(Impostazioni!$B$2/500)*INDEX(Motore!$A$5:$H$8,MATCH(C219,Motore!$A$5:$A$8,0),8)*M219*INDEX(Impostazioni!$E$23:$E$29,MATCH(H219,Impostazioni!$D$23:$D$29,0))))</f>
        <v/>
      </c>
      <c r="K219" s="2" t="inlineStr">
        <is>
          <t>Scommessa / Sconosciuto</t>
        </is>
      </c>
      <c r="L219" s="2" t="n">
        <v>1</v>
      </c>
      <c r="M219" s="2" t="n">
        <v>1</v>
      </c>
    </row>
    <row r="220">
      <c r="A220" s="2" t="inlineStr">
        <is>
          <t>Bakoune</t>
        </is>
      </c>
      <c r="B220" s="2" t="inlineStr">
        <is>
          <t>Monza</t>
        </is>
      </c>
      <c r="C220" s="2" t="inlineStr">
        <is>
          <t>D</t>
        </is>
      </c>
      <c r="D220" s="2" t="inlineStr">
        <is>
          <t>Dd;E</t>
        </is>
      </c>
      <c r="E220" s="2" t="n">
        <v>2</v>
      </c>
      <c r="F220" s="2" t="n">
        <v>0.5</v>
      </c>
      <c r="G220" s="2" t="n">
        <v>0.5</v>
      </c>
      <c r="H220" s="8" t="inlineStr">
        <is>
          <t>Normale</t>
        </is>
      </c>
      <c r="I220" s="2">
        <f>MAX(1,TRUNC(L220*(Impostazioni!$B$2/500)*1*M220*INDEX(Impostazioni!$E$23:$E$29,MATCH(H220,Impostazioni!$D$23:$D$29,0))))</f>
        <v/>
      </c>
      <c r="J220" s="9">
        <f>MAX(1,TRUNC(L220*(Impostazioni!$B$2/500)*INDEX(Motore!$A$5:$H$8,MATCH(C220,Motore!$A$5:$A$8,0),8)*M220*INDEX(Impostazioni!$E$23:$E$29,MATCH(H220,Impostazioni!$D$23:$D$29,0))))</f>
        <v/>
      </c>
      <c r="K220" s="2" t="inlineStr">
        <is>
          <t>Scommessa / Sconosciuto</t>
        </is>
      </c>
      <c r="L220" s="2" t="n">
        <v>1</v>
      </c>
      <c r="M220" s="2" t="n">
        <v>0.85</v>
      </c>
    </row>
    <row r="221">
      <c r="A221" s="2" t="inlineStr">
        <is>
          <t>Biraghi</t>
        </is>
      </c>
      <c r="B221" s="2" t="inlineStr">
        <is>
          <t>Torino</t>
        </is>
      </c>
      <c r="C221" s="2" t="inlineStr">
        <is>
          <t>D</t>
        </is>
      </c>
      <c r="D221" s="2" t="inlineStr">
        <is>
          <t>B/Ds/E</t>
        </is>
      </c>
      <c r="E221" s="2" t="n">
        <v>2</v>
      </c>
      <c r="F221" s="2" t="n">
        <v>0.95</v>
      </c>
      <c r="G221" s="2" t="n">
        <v>0.5</v>
      </c>
      <c r="H221" s="8" t="inlineStr">
        <is>
          <t>🪑 Riserva Fissa (da fasciaFc)</t>
        </is>
      </c>
      <c r="I221" s="2">
        <f>MAX(1,TRUNC(L221*(Impostazioni!$B$2/500)*1*M221*INDEX(Impostazioni!$E$23:$E$29,MATCH(H221,Impostazioni!$D$23:$D$29,0))))</f>
        <v/>
      </c>
      <c r="J221" s="9">
        <f>MAX(1,TRUNC(L221*(Impostazioni!$B$2/500)*INDEX(Motore!$A$5:$H$8,MATCH(C221,Motore!$A$5:$A$8,0),8)*M221*INDEX(Impostazioni!$E$23:$E$29,MATCH(H221,Impostazioni!$D$23:$D$29,0))))</f>
        <v/>
      </c>
      <c r="K221" s="2" t="inlineStr">
        <is>
          <t>Scommessa / Sconosciuto</t>
        </is>
      </c>
      <c r="L221" s="2" t="n">
        <v>1</v>
      </c>
      <c r="M221" s="2" t="n">
        <v>1</v>
      </c>
    </row>
    <row r="222">
      <c r="A222" s="2" t="inlineStr">
        <is>
          <t>Cinquegrano</t>
        </is>
      </c>
      <c r="B222" s="2" t="inlineStr">
        <is>
          <t>Sassuolo</t>
        </is>
      </c>
      <c r="C222" s="2" t="inlineStr">
        <is>
          <t>D</t>
        </is>
      </c>
      <c r="D222" s="2" t="inlineStr">
        <is>
          <t>Dd/E</t>
        </is>
      </c>
      <c r="E222" s="2" t="n">
        <v>2</v>
      </c>
      <c r="F222" s="2" t="n">
        <v>1.2</v>
      </c>
      <c r="G222" s="2" t="n">
        <v>0.5</v>
      </c>
      <c r="H222" s="8" t="inlineStr">
        <is>
          <t>Normale</t>
        </is>
      </c>
      <c r="I222" s="2">
        <f>MAX(1,TRUNC(L222*(Impostazioni!$B$2/500)*1*M222*INDEX(Impostazioni!$E$23:$E$29,MATCH(H222,Impostazioni!$D$23:$D$29,0))))</f>
        <v/>
      </c>
      <c r="J222" s="9">
        <f>MAX(1,TRUNC(L222*(Impostazioni!$B$2/500)*INDEX(Motore!$A$5:$H$8,MATCH(C222,Motore!$A$5:$A$8,0),8)*M222*INDEX(Impostazioni!$E$23:$E$29,MATCH(H222,Impostazioni!$D$23:$D$29,0))))</f>
        <v/>
      </c>
      <c r="K222" s="2" t="inlineStr">
        <is>
          <t>Scommessa / Sconosciuto</t>
        </is>
      </c>
      <c r="L222" s="2" t="n">
        <v>1</v>
      </c>
      <c r="M222" s="2" t="n">
        <v>1</v>
      </c>
    </row>
    <row r="223">
      <c r="A223" s="2" t="inlineStr">
        <is>
          <t>Diawara S.</t>
        </is>
      </c>
      <c r="B223" s="2" t="inlineStr">
        <is>
          <t>Milan</t>
        </is>
      </c>
      <c r="C223" s="2" t="inlineStr">
        <is>
          <t>D</t>
        </is>
      </c>
      <c r="D223" s="2" t="inlineStr">
        <is>
          <t>Dc;Ds</t>
        </is>
      </c>
      <c r="E223" s="2" t="n">
        <v>2</v>
      </c>
      <c r="F223" s="2" t="n">
        <v>0.7</v>
      </c>
      <c r="G223" s="2" t="n">
        <v>0.5</v>
      </c>
      <c r="H223" s="8" t="inlineStr">
        <is>
          <t>🪑 Riserva Fissa (da fasciaFc)</t>
        </is>
      </c>
      <c r="I223" s="2">
        <f>MAX(1,TRUNC(L223*(Impostazioni!$B$2/500)*1*M223*INDEX(Impostazioni!$E$23:$E$29,MATCH(H223,Impostazioni!$D$23:$D$29,0))))</f>
        <v/>
      </c>
      <c r="J223" s="9">
        <f>MAX(1,TRUNC(L223*(Impostazioni!$B$2/500)*INDEX(Motore!$A$5:$H$8,MATCH(C223,Motore!$A$5:$A$8,0),8)*M223*INDEX(Impostazioni!$E$23:$E$29,MATCH(H223,Impostazioni!$D$23:$D$29,0))))</f>
        <v/>
      </c>
      <c r="K223" s="2" t="inlineStr">
        <is>
          <t>Scommessa / Sconosciuto</t>
        </is>
      </c>
      <c r="L223" s="2" t="n">
        <v>1</v>
      </c>
      <c r="M223" s="2" t="n">
        <v>1.09</v>
      </c>
    </row>
    <row r="224">
      <c r="A224" s="2" t="inlineStr">
        <is>
          <t>Drobnic</t>
        </is>
      </c>
      <c r="B224" s="2" t="inlineStr">
        <is>
          <t>Parma</t>
        </is>
      </c>
      <c r="C224" s="2" t="inlineStr">
        <is>
          <t>D</t>
        </is>
      </c>
      <c r="D224" s="2" t="inlineStr">
        <is>
          <t>Dc</t>
        </is>
      </c>
      <c r="E224" s="2" t="n">
        <v>2</v>
      </c>
      <c r="F224" s="2" t="n">
        <v>0.5</v>
      </c>
      <c r="G224" s="2" t="n">
        <v>0.5</v>
      </c>
      <c r="H224" s="8" t="inlineStr">
        <is>
          <t>🪑 Riserva Fissa (da fasciaFc)</t>
        </is>
      </c>
      <c r="I224" s="2">
        <f>MAX(1,TRUNC(L224*(Impostazioni!$B$2/500)*1*M224*INDEX(Impostazioni!$E$23:$E$29,MATCH(H224,Impostazioni!$D$23:$D$29,0))))</f>
        <v/>
      </c>
      <c r="J224" s="9">
        <f>MAX(1,TRUNC(L224*(Impostazioni!$B$2/500)*INDEX(Motore!$A$5:$H$8,MATCH(C224,Motore!$A$5:$A$8,0),8)*M224*INDEX(Impostazioni!$E$23:$E$29,MATCH(H224,Impostazioni!$D$23:$D$29,0))))</f>
        <v/>
      </c>
      <c r="K224" s="2" t="inlineStr">
        <is>
          <t>Scommessa / Sconosciuto</t>
        </is>
      </c>
      <c r="L224" s="2" t="n">
        <v>1</v>
      </c>
      <c r="M224" s="2" t="n">
        <v>1</v>
      </c>
    </row>
    <row r="225">
      <c r="A225" s="2" t="inlineStr">
        <is>
          <t>Goglichidze</t>
        </is>
      </c>
      <c r="B225" s="2" t="inlineStr">
        <is>
          <t>Monza</t>
        </is>
      </c>
      <c r="C225" s="2" t="inlineStr">
        <is>
          <t>D</t>
        </is>
      </c>
      <c r="D225" s="2" t="inlineStr">
        <is>
          <t>Dd/Dc</t>
        </is>
      </c>
      <c r="E225" s="2" t="n">
        <v>2</v>
      </c>
      <c r="F225" s="2" t="n">
        <v>0.95</v>
      </c>
      <c r="G225" s="2" t="n">
        <v>0.5</v>
      </c>
      <c r="H225" s="8" t="inlineStr">
        <is>
          <t>🪑 Riserva Fissa (da fasciaFc)</t>
        </is>
      </c>
      <c r="I225" s="2">
        <f>MAX(1,TRUNC(L225*(Impostazioni!$B$2/500)*1*M225*INDEX(Impostazioni!$E$23:$E$29,MATCH(H225,Impostazioni!$D$23:$D$29,0))))</f>
        <v/>
      </c>
      <c r="J225" s="9">
        <f>MAX(1,TRUNC(L225*(Impostazioni!$B$2/500)*INDEX(Motore!$A$5:$H$8,MATCH(C225,Motore!$A$5:$A$8,0),8)*M225*INDEX(Impostazioni!$E$23:$E$29,MATCH(H225,Impostazioni!$D$23:$D$29,0))))</f>
        <v/>
      </c>
      <c r="K225" s="2" t="inlineStr">
        <is>
          <t>Scommessa / Sconosciuto</t>
        </is>
      </c>
      <c r="L225" s="2" t="n">
        <v>1</v>
      </c>
      <c r="M225" s="2" t="n">
        <v>0.85</v>
      </c>
    </row>
    <row r="226">
      <c r="A226" s="2" t="inlineStr">
        <is>
          <t>Jean</t>
        </is>
      </c>
      <c r="B226" s="2" t="inlineStr">
        <is>
          <t>Lecce</t>
        </is>
      </c>
      <c r="C226" s="2" t="inlineStr">
        <is>
          <t>D</t>
        </is>
      </c>
      <c r="D226" s="2" t="inlineStr">
        <is>
          <t>Dc</t>
        </is>
      </c>
      <c r="E226" s="2" t="n">
        <v>2</v>
      </c>
      <c r="F226" s="2" t="n">
        <v>0.5</v>
      </c>
      <c r="G226" s="2" t="n">
        <v>0.5</v>
      </c>
      <c r="H226" s="8" t="inlineStr">
        <is>
          <t>🪑 Riserva Fissa (da fasciaFc)</t>
        </is>
      </c>
      <c r="I226" s="2">
        <f>MAX(1,TRUNC(L226*(Impostazioni!$B$2/500)*1*M226*INDEX(Impostazioni!$E$23:$E$29,MATCH(H226,Impostazioni!$D$23:$D$29,0))))</f>
        <v/>
      </c>
      <c r="J226" s="9">
        <f>MAX(1,TRUNC(L226*(Impostazioni!$B$2/500)*INDEX(Motore!$A$5:$H$8,MATCH(C226,Motore!$A$5:$A$8,0),8)*M226*INDEX(Impostazioni!$E$23:$E$29,MATCH(H226,Impostazioni!$D$23:$D$29,0))))</f>
        <v/>
      </c>
      <c r="K226" s="2" t="inlineStr">
        <is>
          <t>Scommessa / Sconosciuto</t>
        </is>
      </c>
      <c r="L226" s="2" t="n">
        <v>1</v>
      </c>
      <c r="M226" s="2" t="n">
        <v>1</v>
      </c>
    </row>
    <row r="227">
      <c r="A227" s="2" t="inlineStr">
        <is>
          <t>Lazzari</t>
        </is>
      </c>
      <c r="B227" s="2" t="inlineStr">
        <is>
          <t>Lazio</t>
        </is>
      </c>
      <c r="C227" s="2" t="inlineStr">
        <is>
          <t>D</t>
        </is>
      </c>
      <c r="D227" s="2" t="inlineStr">
        <is>
          <t>Dd/E</t>
        </is>
      </c>
      <c r="E227" s="2" t="n">
        <v>2</v>
      </c>
      <c r="F227" s="2" t="n">
        <v>1</v>
      </c>
      <c r="G227" s="2" t="n">
        <v>0.5</v>
      </c>
      <c r="H227" s="8" t="inlineStr">
        <is>
          <t>🪑 Riserva Fissa (da fasciaFc)</t>
        </is>
      </c>
      <c r="I227" s="2">
        <f>MAX(1,TRUNC(L227*(Impostazioni!$B$2/500)*1*M227*INDEX(Impostazioni!$E$23:$E$29,MATCH(H227,Impostazioni!$D$23:$D$29,0))))</f>
        <v/>
      </c>
      <c r="J227" s="9">
        <f>MAX(1,TRUNC(L227*(Impostazioni!$B$2/500)*INDEX(Motore!$A$5:$H$8,MATCH(C227,Motore!$A$5:$A$8,0),8)*M227*INDEX(Impostazioni!$E$23:$E$29,MATCH(H227,Impostazioni!$D$23:$D$29,0))))</f>
        <v/>
      </c>
      <c r="K227" s="2" t="inlineStr">
        <is>
          <t>Scommessa / Sconosciuto</t>
        </is>
      </c>
      <c r="L227" s="2" t="n">
        <v>1</v>
      </c>
      <c r="M227" s="2" t="n">
        <v>1</v>
      </c>
    </row>
    <row r="228">
      <c r="A228" s="2" t="inlineStr">
        <is>
          <t>Lulli</t>
        </is>
      </c>
      <c r="B228" s="2" t="inlineStr">
        <is>
          <t>Roma</t>
        </is>
      </c>
      <c r="C228" s="2" t="inlineStr">
        <is>
          <t>D</t>
        </is>
      </c>
      <c r="D228" s="2" t="inlineStr">
        <is>
          <t>E</t>
        </is>
      </c>
      <c r="E228" s="2" t="n">
        <v>2</v>
      </c>
      <c r="F228" s="2" t="n">
        <v>2.4</v>
      </c>
      <c r="G228" s="2" t="n">
        <v>0.5</v>
      </c>
      <c r="H228" s="8" t="inlineStr">
        <is>
          <t>🪑 Riserva Fissa (da fasciaFc)</t>
        </is>
      </c>
      <c r="I228" s="2">
        <f>MAX(1,TRUNC(L228*(Impostazioni!$B$2/500)*1*M228*INDEX(Impostazioni!$E$23:$E$29,MATCH(H228,Impostazioni!$D$23:$D$29,0))))</f>
        <v/>
      </c>
      <c r="J228" s="9">
        <f>MAX(1,TRUNC(L228*(Impostazioni!$B$2/500)*INDEX(Motore!$A$5:$H$8,MATCH(C228,Motore!$A$5:$A$8,0),8)*M228*INDEX(Impostazioni!$E$23:$E$29,MATCH(H228,Impostazioni!$D$23:$D$29,0))))</f>
        <v/>
      </c>
      <c r="K228" s="2" t="inlineStr">
        <is>
          <t>Scommessa / Sconosciuto</t>
        </is>
      </c>
      <c r="L228" s="2" t="n">
        <v>1</v>
      </c>
      <c r="M228" s="2" t="n">
        <v>1.16</v>
      </c>
    </row>
    <row r="229">
      <c r="A229" s="2" t="inlineStr">
        <is>
          <t>Marin R.</t>
        </is>
      </c>
      <c r="B229" s="2" t="inlineStr">
        <is>
          <t>Napoli</t>
        </is>
      </c>
      <c r="C229" s="2" t="inlineStr">
        <is>
          <t>D</t>
        </is>
      </c>
      <c r="D229" s="2" t="inlineStr">
        <is>
          <t>Dc</t>
        </is>
      </c>
      <c r="E229" s="2" t="n">
        <v>2</v>
      </c>
      <c r="F229" s="2" t="n">
        <v>1.4</v>
      </c>
      <c r="G229" s="2" t="n">
        <v>0.5</v>
      </c>
      <c r="H229" s="8" t="inlineStr">
        <is>
          <t>🪑 Riserva Fissa (da fasciaFc)</t>
        </is>
      </c>
      <c r="I229" s="2">
        <f>MAX(1,TRUNC(L229*(Impostazioni!$B$2/500)*1*M229*INDEX(Impostazioni!$E$23:$E$29,MATCH(H229,Impostazioni!$D$23:$D$29,0))))</f>
        <v/>
      </c>
      <c r="J229" s="9">
        <f>MAX(1,TRUNC(L229*(Impostazioni!$B$2/500)*INDEX(Motore!$A$5:$H$8,MATCH(C229,Motore!$A$5:$A$8,0),8)*M229*INDEX(Impostazioni!$E$23:$E$29,MATCH(H229,Impostazioni!$D$23:$D$29,0))))</f>
        <v/>
      </c>
      <c r="K229" s="2" t="inlineStr">
        <is>
          <t>Scommessa / Sconosciuto</t>
        </is>
      </c>
      <c r="L229" s="2" t="n">
        <v>1</v>
      </c>
      <c r="M229" s="2" t="n">
        <v>1.11</v>
      </c>
    </row>
    <row r="230">
      <c r="A230" s="2" t="inlineStr">
        <is>
          <t>Ndaba</t>
        </is>
      </c>
      <c r="B230" s="2" t="inlineStr">
        <is>
          <t>Lecce</t>
        </is>
      </c>
      <c r="C230" s="2" t="inlineStr">
        <is>
          <t>D</t>
        </is>
      </c>
      <c r="D230" s="2" t="inlineStr">
        <is>
          <t>Ds;E</t>
        </is>
      </c>
      <c r="E230" s="2" t="n">
        <v>2</v>
      </c>
      <c r="F230" s="2" t="n">
        <v>0.5</v>
      </c>
      <c r="G230" s="2" t="n">
        <v>0.5</v>
      </c>
      <c r="H230" s="8" t="inlineStr">
        <is>
          <t>🟡 Ballottaggio</t>
        </is>
      </c>
      <c r="I230" s="2">
        <f>MAX(1,TRUNC(L230*(Impostazioni!$B$2/500)*1*M230*INDEX(Impostazioni!$E$23:$E$29,MATCH(H230,Impostazioni!$D$23:$D$29,0))))</f>
        <v/>
      </c>
      <c r="J230" s="9">
        <f>MAX(1,TRUNC(L230*(Impostazioni!$B$2/500)*INDEX(Motore!$A$5:$H$8,MATCH(C230,Motore!$A$5:$A$8,0),8)*M230*INDEX(Impostazioni!$E$23:$E$29,MATCH(H230,Impostazioni!$D$23:$D$29,0))))</f>
        <v/>
      </c>
      <c r="K230" s="2" t="inlineStr">
        <is>
          <t>Scommessa / Sconosciuto</t>
        </is>
      </c>
      <c r="L230" s="2" t="n">
        <v>1</v>
      </c>
      <c r="M230" s="2" t="n">
        <v>1</v>
      </c>
    </row>
    <row r="231">
      <c r="A231" s="2" t="inlineStr">
        <is>
          <t>Ndiaye</t>
        </is>
      </c>
      <c r="B231" s="2" t="inlineStr">
        <is>
          <t>Parma</t>
        </is>
      </c>
      <c r="C231" s="2" t="inlineStr">
        <is>
          <t>D</t>
        </is>
      </c>
      <c r="D231" s="2" t="inlineStr">
        <is>
          <t>Dc</t>
        </is>
      </c>
      <c r="E231" s="2" t="n">
        <v>2</v>
      </c>
      <c r="F231" s="2" t="n">
        <v>1</v>
      </c>
      <c r="G231" s="2" t="n">
        <v>0.5</v>
      </c>
      <c r="H231" s="8" t="inlineStr">
        <is>
          <t>🪑 Riserva Fissa (da fasciaFc)</t>
        </is>
      </c>
      <c r="I231" s="2">
        <f>MAX(1,TRUNC(L231*(Impostazioni!$B$2/500)*1*M231*INDEX(Impostazioni!$E$23:$E$29,MATCH(H231,Impostazioni!$D$23:$D$29,0))))</f>
        <v/>
      </c>
      <c r="J231" s="9">
        <f>MAX(1,TRUNC(L231*(Impostazioni!$B$2/500)*INDEX(Motore!$A$5:$H$8,MATCH(C231,Motore!$A$5:$A$8,0),8)*M231*INDEX(Impostazioni!$E$23:$E$29,MATCH(H231,Impostazioni!$D$23:$D$29,0))))</f>
        <v/>
      </c>
      <c r="K231" s="2" t="inlineStr">
        <is>
          <t>Scommessa / Sconosciuto</t>
        </is>
      </c>
      <c r="L231" s="2" t="n">
        <v>1</v>
      </c>
      <c r="M231" s="2" t="n">
        <v>1</v>
      </c>
    </row>
    <row r="232">
      <c r="A232" s="2" t="inlineStr">
        <is>
          <t>Otoa</t>
        </is>
      </c>
      <c r="B232" s="2" t="inlineStr">
        <is>
          <t>Genoa</t>
        </is>
      </c>
      <c r="C232" s="2" t="inlineStr">
        <is>
          <t>D</t>
        </is>
      </c>
      <c r="D232" s="2" t="inlineStr">
        <is>
          <t>Dc</t>
        </is>
      </c>
      <c r="E232" s="2" t="n">
        <v>2</v>
      </c>
      <c r="F232" s="2" t="n">
        <v>0.5</v>
      </c>
      <c r="G232" s="2" t="n">
        <v>0.5</v>
      </c>
      <c r="H232" s="8" t="inlineStr">
        <is>
          <t>Normale</t>
        </is>
      </c>
      <c r="I232" s="2">
        <f>MAX(1,TRUNC(L232*(Impostazioni!$B$2/500)*1*M232*INDEX(Impostazioni!$E$23:$E$29,MATCH(H232,Impostazioni!$D$23:$D$29,0))))</f>
        <v/>
      </c>
      <c r="J232" s="9">
        <f>MAX(1,TRUNC(L232*(Impostazioni!$B$2/500)*INDEX(Motore!$A$5:$H$8,MATCH(C232,Motore!$A$5:$A$8,0),8)*M232*INDEX(Impostazioni!$E$23:$E$29,MATCH(H232,Impostazioni!$D$23:$D$29,0))))</f>
        <v/>
      </c>
      <c r="K232" s="2" t="inlineStr">
        <is>
          <t>Scommessa / Sconosciuto</t>
        </is>
      </c>
      <c r="L232" s="2" t="n">
        <v>1</v>
      </c>
      <c r="M232" s="2" t="n">
        <v>1</v>
      </c>
    </row>
    <row r="233">
      <c r="A233" s="2" t="inlineStr">
        <is>
          <t>Pellegrini Lu.</t>
        </is>
      </c>
      <c r="B233" s="2" t="inlineStr">
        <is>
          <t>Lazio</t>
        </is>
      </c>
      <c r="C233" s="2" t="inlineStr">
        <is>
          <t>D</t>
        </is>
      </c>
      <c r="D233" s="2" t="inlineStr">
        <is>
          <t>Ds/E</t>
        </is>
      </c>
      <c r="E233" s="2" t="n">
        <v>2</v>
      </c>
      <c r="F233" s="2" t="n">
        <v>0.95</v>
      </c>
      <c r="G233" s="2" t="n">
        <v>0.5</v>
      </c>
      <c r="H233" s="8" t="inlineStr">
        <is>
          <t>🔴 Infortunato/Dubbio</t>
        </is>
      </c>
      <c r="I233" s="2">
        <f>MAX(1,TRUNC(L233*(Impostazioni!$B$2/500)*1*M233*INDEX(Impostazioni!$E$23:$E$29,MATCH(H233,Impostazioni!$D$23:$D$29,0))))</f>
        <v/>
      </c>
      <c r="J233" s="9">
        <f>MAX(1,TRUNC(L233*(Impostazioni!$B$2/500)*INDEX(Motore!$A$5:$H$8,MATCH(C233,Motore!$A$5:$A$8,0),8)*M233*INDEX(Impostazioni!$E$23:$E$29,MATCH(H233,Impostazioni!$D$23:$D$29,0))))</f>
        <v/>
      </c>
      <c r="K233" s="2" t="inlineStr">
        <is>
          <t>Scommessa / Sconosciuto</t>
        </is>
      </c>
      <c r="L233" s="2" t="n">
        <v>1</v>
      </c>
      <c r="M233" s="2" t="n">
        <v>1</v>
      </c>
    </row>
    <row r="234">
      <c r="A234" s="2" t="inlineStr">
        <is>
          <t>Puczka</t>
        </is>
      </c>
      <c r="B234" s="2" t="inlineStr">
        <is>
          <t>Genoa</t>
        </is>
      </c>
      <c r="C234" s="2" t="inlineStr">
        <is>
          <t>D</t>
        </is>
      </c>
      <c r="D234" s="2" t="inlineStr">
        <is>
          <t>Ds/E</t>
        </is>
      </c>
      <c r="E234" s="2" t="n">
        <v>2</v>
      </c>
      <c r="F234" s="2" t="n">
        <v>0.95</v>
      </c>
      <c r="G234" s="2" t="n">
        <v>0.5</v>
      </c>
      <c r="H234" s="8" t="inlineStr">
        <is>
          <t>🪑 Riserva Fissa (da fasciaFc)</t>
        </is>
      </c>
      <c r="I234" s="2">
        <f>MAX(1,TRUNC(L234*(Impostazioni!$B$2/500)*1*M234*INDEX(Impostazioni!$E$23:$E$29,MATCH(H234,Impostazioni!$D$23:$D$29,0))))</f>
        <v/>
      </c>
      <c r="J234" s="9">
        <f>MAX(1,TRUNC(L234*(Impostazioni!$B$2/500)*INDEX(Motore!$A$5:$H$8,MATCH(C234,Motore!$A$5:$A$8,0),8)*M234*INDEX(Impostazioni!$E$23:$E$29,MATCH(H234,Impostazioni!$D$23:$D$29,0))))</f>
        <v/>
      </c>
      <c r="K234" s="2" t="inlineStr">
        <is>
          <t>Scommessa / Sconosciuto</t>
        </is>
      </c>
      <c r="L234" s="2" t="n">
        <v>1</v>
      </c>
      <c r="M234" s="2" t="n">
        <v>1</v>
      </c>
    </row>
    <row r="235">
      <c r="A235" s="2" t="inlineStr">
        <is>
          <t>Sabelli</t>
        </is>
      </c>
      <c r="B235" s="2" t="inlineStr">
        <is>
          <t>Genoa</t>
        </is>
      </c>
      <c r="C235" s="2" t="inlineStr">
        <is>
          <t>D</t>
        </is>
      </c>
      <c r="D235" s="2" t="inlineStr">
        <is>
          <t>Dd/Ds/E</t>
        </is>
      </c>
      <c r="E235" s="2" t="n">
        <v>2</v>
      </c>
      <c r="F235" s="2" t="n">
        <v>0.95</v>
      </c>
      <c r="G235" s="2" t="n">
        <v>0.5</v>
      </c>
      <c r="H235" s="8" t="inlineStr">
        <is>
          <t>🪑 Riserva Fissa (da fasciaFc)</t>
        </is>
      </c>
      <c r="I235" s="2">
        <f>MAX(1,TRUNC(L235*(Impostazioni!$B$2/500)*1*M235*INDEX(Impostazioni!$E$23:$E$29,MATCH(H235,Impostazioni!$D$23:$D$29,0))))</f>
        <v/>
      </c>
      <c r="J235" s="9">
        <f>MAX(1,TRUNC(L235*(Impostazioni!$B$2/500)*INDEX(Motore!$A$5:$H$8,MATCH(C235,Motore!$A$5:$A$8,0),8)*M235*INDEX(Impostazioni!$E$23:$E$29,MATCH(H235,Impostazioni!$D$23:$D$29,0))))</f>
        <v/>
      </c>
      <c r="K235" s="2" t="inlineStr">
        <is>
          <t>Scommessa / Sconosciuto</t>
        </is>
      </c>
      <c r="L235" s="2" t="n">
        <v>1</v>
      </c>
      <c r="M235" s="2" t="n">
        <v>1</v>
      </c>
    </row>
    <row r="236">
      <c r="A236" s="2" t="inlineStr">
        <is>
          <t>Sagrado</t>
        </is>
      </c>
      <c r="B236" s="2" t="inlineStr">
        <is>
          <t>Venezia</t>
        </is>
      </c>
      <c r="C236" s="2" t="inlineStr">
        <is>
          <t>D</t>
        </is>
      </c>
      <c r="D236" s="2" t="inlineStr">
        <is>
          <t>Dd;E</t>
        </is>
      </c>
      <c r="E236" s="2" t="n">
        <v>2</v>
      </c>
      <c r="F236" s="2" t="n">
        <v>0.5</v>
      </c>
      <c r="G236" s="2" t="n">
        <v>0.5</v>
      </c>
      <c r="H236" s="8" t="inlineStr">
        <is>
          <t>Normale</t>
        </is>
      </c>
      <c r="I236" s="2">
        <f>MAX(1,TRUNC(L236*(Impostazioni!$B$2/500)*1*M236*INDEX(Impostazioni!$E$23:$E$29,MATCH(H236,Impostazioni!$D$23:$D$29,0))))</f>
        <v/>
      </c>
      <c r="J236" s="9">
        <f>MAX(1,TRUNC(L236*(Impostazioni!$B$2/500)*INDEX(Motore!$A$5:$H$8,MATCH(C236,Motore!$A$5:$A$8,0),8)*M236*INDEX(Impostazioni!$E$23:$E$29,MATCH(H236,Impostazioni!$D$23:$D$29,0))))</f>
        <v/>
      </c>
      <c r="K236" s="2" t="inlineStr">
        <is>
          <t>Scommessa / Sconosciuto</t>
        </is>
      </c>
      <c r="L236" s="2" t="n">
        <v>1</v>
      </c>
      <c r="M236" s="2" t="n">
        <v>0.85</v>
      </c>
    </row>
    <row r="237">
      <c r="A237" s="2" t="inlineStr">
        <is>
          <t>Terracciano F.</t>
        </is>
      </c>
      <c r="B237" s="2" t="inlineStr">
        <is>
          <t>Milan</t>
        </is>
      </c>
      <c r="C237" s="2" t="inlineStr">
        <is>
          <t>D</t>
        </is>
      </c>
      <c r="D237" s="2" t="inlineStr">
        <is>
          <t>B/Dd/Ds</t>
        </is>
      </c>
      <c r="E237" s="2" t="n">
        <v>2</v>
      </c>
      <c r="F237" s="2" t="n">
        <v>0.95</v>
      </c>
      <c r="G237" s="2" t="n">
        <v>0.5</v>
      </c>
      <c r="H237" s="8" t="inlineStr">
        <is>
          <t>🪑 Riserva Fissa (da fasciaFc)</t>
        </is>
      </c>
      <c r="I237" s="2">
        <f>MAX(1,TRUNC(L237*(Impostazioni!$B$2/500)*1*M237*INDEX(Impostazioni!$E$23:$E$29,MATCH(H237,Impostazioni!$D$23:$D$29,0))))</f>
        <v/>
      </c>
      <c r="J237" s="9">
        <f>MAX(1,TRUNC(L237*(Impostazioni!$B$2/500)*INDEX(Motore!$A$5:$H$8,MATCH(C237,Motore!$A$5:$A$8,0),8)*M237*INDEX(Impostazioni!$E$23:$E$29,MATCH(H237,Impostazioni!$D$23:$D$29,0))))</f>
        <v/>
      </c>
      <c r="K237" s="2" t="inlineStr">
        <is>
          <t>Scommessa / Sconosciuto</t>
        </is>
      </c>
      <c r="L237" s="2" t="n">
        <v>1</v>
      </c>
      <c r="M237" s="2" t="n">
        <v>1.09</v>
      </c>
    </row>
    <row r="238">
      <c r="A238" s="2" t="inlineStr">
        <is>
          <t>Van Der Brempt</t>
        </is>
      </c>
      <c r="B238" s="2" t="inlineStr">
        <is>
          <t>Sassuolo</t>
        </is>
      </c>
      <c r="C238" s="2" t="inlineStr">
        <is>
          <t>D</t>
        </is>
      </c>
      <c r="D238" s="2" t="inlineStr">
        <is>
          <t>Dd/E</t>
        </is>
      </c>
      <c r="E238" s="2" t="n">
        <v>2</v>
      </c>
      <c r="F238" s="2" t="n">
        <v>1.3</v>
      </c>
      <c r="G238" s="2" t="n">
        <v>0.5</v>
      </c>
      <c r="H238" s="8" t="inlineStr">
        <is>
          <t>Normale</t>
        </is>
      </c>
      <c r="I238" s="2">
        <f>MAX(1,TRUNC(L238*(Impostazioni!$B$2/500)*1*M238*INDEX(Impostazioni!$E$23:$E$29,MATCH(H238,Impostazioni!$D$23:$D$29,0))))</f>
        <v/>
      </c>
      <c r="J238" s="9">
        <f>MAX(1,TRUNC(L238*(Impostazioni!$B$2/500)*INDEX(Motore!$A$5:$H$8,MATCH(C238,Motore!$A$5:$A$8,0),8)*M238*INDEX(Impostazioni!$E$23:$E$29,MATCH(H238,Impostazioni!$D$23:$D$29,0))))</f>
        <v/>
      </c>
      <c r="K238" s="2" t="inlineStr">
        <is>
          <t>Scommessa / Sconosciuto</t>
        </is>
      </c>
      <c r="L238" s="2" t="n">
        <v>1</v>
      </c>
      <c r="M238" s="2" t="n">
        <v>1</v>
      </c>
    </row>
    <row r="239">
      <c r="A239" s="2" t="inlineStr">
        <is>
          <t>Amey</t>
        </is>
      </c>
      <c r="B239" s="2" t="inlineStr">
        <is>
          <t>Frosinone</t>
        </is>
      </c>
      <c r="C239" s="2" t="inlineStr">
        <is>
          <t>D</t>
        </is>
      </c>
      <c r="D239" s="2" t="inlineStr">
        <is>
          <t>Dc</t>
        </is>
      </c>
      <c r="E239" s="2" t="n">
        <v>1</v>
      </c>
      <c r="F239" s="2" t="n">
        <v>0.5</v>
      </c>
      <c r="G239" s="2" t="n">
        <v>0.5</v>
      </c>
      <c r="H239" s="8" t="inlineStr">
        <is>
          <t>🪑 Riserva Fissa (da fasciaFc)</t>
        </is>
      </c>
      <c r="I239" s="2">
        <f>MAX(1,TRUNC(L239*(Impostazioni!$B$2/500)*1*M239*INDEX(Impostazioni!$E$23:$E$29,MATCH(H239,Impostazioni!$D$23:$D$29,0))))</f>
        <v/>
      </c>
      <c r="J239" s="9">
        <f>MAX(1,TRUNC(L239*(Impostazioni!$B$2/500)*INDEX(Motore!$A$5:$H$8,MATCH(C239,Motore!$A$5:$A$8,0),8)*M239*INDEX(Impostazioni!$E$23:$E$29,MATCH(H239,Impostazioni!$D$23:$D$29,0))))</f>
        <v/>
      </c>
      <c r="K239" s="2" t="inlineStr">
        <is>
          <t>Scommessa / Sconosciuto</t>
        </is>
      </c>
      <c r="L239" s="2" t="n">
        <v>1</v>
      </c>
      <c r="M239" s="2" t="n">
        <v>0.85</v>
      </c>
    </row>
    <row r="240">
      <c r="A240" s="2" t="inlineStr">
        <is>
          <t>Antov</t>
        </is>
      </c>
      <c r="B240" s="2" t="inlineStr">
        <is>
          <t>Monza</t>
        </is>
      </c>
      <c r="C240" s="2" t="inlineStr">
        <is>
          <t>D</t>
        </is>
      </c>
      <c r="D240" s="2" t="inlineStr">
        <is>
          <t>Dc</t>
        </is>
      </c>
      <c r="E240" s="2" t="n">
        <v>1</v>
      </c>
      <c r="F240" s="2" t="n">
        <v>0.5</v>
      </c>
      <c r="G240" s="2" t="n">
        <v>0.5</v>
      </c>
      <c r="H240" s="8" t="inlineStr">
        <is>
          <t>🪑 Riserva Fissa (da fasciaFc)</t>
        </is>
      </c>
      <c r="I240" s="2">
        <f>MAX(1,TRUNC(L240*(Impostazioni!$B$2/500)*1*M240*INDEX(Impostazioni!$E$23:$E$29,MATCH(H240,Impostazioni!$D$23:$D$29,0))))</f>
        <v/>
      </c>
      <c r="J240" s="9">
        <f>MAX(1,TRUNC(L240*(Impostazioni!$B$2/500)*INDEX(Motore!$A$5:$H$8,MATCH(C240,Motore!$A$5:$A$8,0),8)*M240*INDEX(Impostazioni!$E$23:$E$29,MATCH(H240,Impostazioni!$D$23:$D$29,0))))</f>
        <v/>
      </c>
      <c r="K240" s="2" t="inlineStr">
        <is>
          <t>Scommessa / Sconosciuto</t>
        </is>
      </c>
      <c r="L240" s="2" t="n">
        <v>1</v>
      </c>
      <c r="M240" s="2" t="n">
        <v>0.85</v>
      </c>
    </row>
    <row r="241">
      <c r="A241" s="2" t="inlineStr">
        <is>
          <t>Cabal</t>
        </is>
      </c>
      <c r="B241" s="2" t="inlineStr">
        <is>
          <t>Juventus</t>
        </is>
      </c>
      <c r="C241" s="2" t="inlineStr">
        <is>
          <t>D</t>
        </is>
      </c>
      <c r="D241" s="2" t="inlineStr">
        <is>
          <t>B/Ds/E</t>
        </is>
      </c>
      <c r="E241" s="2" t="n">
        <v>1</v>
      </c>
      <c r="F241" s="2" t="n">
        <v>1</v>
      </c>
      <c r="G241" s="2" t="n">
        <v>0.5</v>
      </c>
      <c r="H241" s="8" t="inlineStr">
        <is>
          <t>🪑 Riserva Fissa (da fasciaFc)</t>
        </is>
      </c>
      <c r="I241" s="2">
        <f>MAX(1,TRUNC(L241*(Impostazioni!$B$2/500)*1*M241*INDEX(Impostazioni!$E$23:$E$29,MATCH(H241,Impostazioni!$D$23:$D$29,0))))</f>
        <v/>
      </c>
      <c r="J241" s="9">
        <f>MAX(1,TRUNC(L241*(Impostazioni!$B$2/500)*INDEX(Motore!$A$5:$H$8,MATCH(C241,Motore!$A$5:$A$8,0),8)*M241*INDEX(Impostazioni!$E$23:$E$29,MATCH(H241,Impostazioni!$D$23:$D$29,0))))</f>
        <v/>
      </c>
      <c r="K241" s="2" t="inlineStr">
        <is>
          <t>Scommessa / Sconosciuto</t>
        </is>
      </c>
      <c r="L241" s="2" t="n">
        <v>1</v>
      </c>
      <c r="M241" s="2" t="n">
        <v>1.12</v>
      </c>
    </row>
    <row r="242">
      <c r="A242" s="2" t="inlineStr">
        <is>
          <t>Carboni F.</t>
        </is>
      </c>
      <c r="B242" s="2" t="inlineStr">
        <is>
          <t>Parma</t>
        </is>
      </c>
      <c r="C242" s="2" t="inlineStr">
        <is>
          <t>D</t>
        </is>
      </c>
      <c r="D242" s="2" t="inlineStr">
        <is>
          <t>Ds;E</t>
        </is>
      </c>
      <c r="E242" s="2" t="n">
        <v>1</v>
      </c>
      <c r="F242" s="2" t="n">
        <v>0.7</v>
      </c>
      <c r="G242" s="2" t="n">
        <v>0.5</v>
      </c>
      <c r="H242" s="8" t="inlineStr">
        <is>
          <t>🪑 Riserva Fissa (da fasciaFc)</t>
        </is>
      </c>
      <c r="I242" s="2">
        <f>MAX(1,TRUNC(L242*(Impostazioni!$B$2/500)*1*M242*INDEX(Impostazioni!$E$23:$E$29,MATCH(H242,Impostazioni!$D$23:$D$29,0))))</f>
        <v/>
      </c>
      <c r="J242" s="9">
        <f>MAX(1,TRUNC(L242*(Impostazioni!$B$2/500)*INDEX(Motore!$A$5:$H$8,MATCH(C242,Motore!$A$5:$A$8,0),8)*M242*INDEX(Impostazioni!$E$23:$E$29,MATCH(H242,Impostazioni!$D$23:$D$29,0))))</f>
        <v/>
      </c>
      <c r="K242" s="2" t="inlineStr">
        <is>
          <t>Scommessa / Sconosciuto</t>
        </is>
      </c>
      <c r="L242" s="2" t="n">
        <v>1</v>
      </c>
      <c r="M242" s="2" t="n">
        <v>1</v>
      </c>
    </row>
    <row r="243">
      <c r="A243" s="2" t="inlineStr">
        <is>
          <t>De Silvestri</t>
        </is>
      </c>
      <c r="B243" s="2" t="inlineStr">
        <is>
          <t>Bologna</t>
        </is>
      </c>
      <c r="C243" s="2" t="inlineStr">
        <is>
          <t>D</t>
        </is>
      </c>
      <c r="D243" s="2" t="inlineStr">
        <is>
          <t>Dd;E</t>
        </is>
      </c>
      <c r="E243" s="2" t="n">
        <v>1</v>
      </c>
      <c r="F243" s="2" t="n">
        <v>0.5</v>
      </c>
      <c r="G243" s="2" t="n">
        <v>0.5</v>
      </c>
      <c r="H243" s="8" t="inlineStr">
        <is>
          <t>🪑 Riserva Fissa (da fasciaFc)</t>
        </is>
      </c>
      <c r="I243" s="2">
        <f>MAX(1,TRUNC(L243*(Impostazioni!$B$2/500)*1*M243*INDEX(Impostazioni!$E$23:$E$29,MATCH(H243,Impostazioni!$D$23:$D$29,0))))</f>
        <v/>
      </c>
      <c r="J243" s="9">
        <f>MAX(1,TRUNC(L243*(Impostazioni!$B$2/500)*INDEX(Motore!$A$5:$H$8,MATCH(C243,Motore!$A$5:$A$8,0),8)*M243*INDEX(Impostazioni!$E$23:$E$29,MATCH(H243,Impostazioni!$D$23:$D$29,0))))</f>
        <v/>
      </c>
      <c r="K243" s="2" t="inlineStr">
        <is>
          <t>Scommessa / Sconosciuto</t>
        </is>
      </c>
      <c r="L243" s="2" t="n">
        <v>1</v>
      </c>
      <c r="M243" s="2" t="n">
        <v>1.08</v>
      </c>
    </row>
    <row r="244">
      <c r="A244" s="2" t="inlineStr">
        <is>
          <t>Dembelè A.</t>
        </is>
      </c>
      <c r="B244" s="2" t="inlineStr">
        <is>
          <t>Lecce</t>
        </is>
      </c>
      <c r="C244" s="2" t="inlineStr">
        <is>
          <t>D</t>
        </is>
      </c>
      <c r="D244" s="2" t="inlineStr">
        <is>
          <t>Dd;E</t>
        </is>
      </c>
      <c r="E244" s="2" t="n">
        <v>1</v>
      </c>
      <c r="F244" s="2" t="n">
        <v>0.5</v>
      </c>
      <c r="G244" s="2" t="n">
        <v>0.5</v>
      </c>
      <c r="H244" s="8" t="inlineStr">
        <is>
          <t>🪑 Riserva Fissa (da fasciaFc)</t>
        </is>
      </c>
      <c r="I244" s="2">
        <f>MAX(1,TRUNC(L244*(Impostazioni!$B$2/500)*1*M244*INDEX(Impostazioni!$E$23:$E$29,MATCH(H244,Impostazioni!$D$23:$D$29,0))))</f>
        <v/>
      </c>
      <c r="J244" s="9">
        <f>MAX(1,TRUNC(L244*(Impostazioni!$B$2/500)*INDEX(Motore!$A$5:$H$8,MATCH(C244,Motore!$A$5:$A$8,0),8)*M244*INDEX(Impostazioni!$E$23:$E$29,MATCH(H244,Impostazioni!$D$23:$D$29,0))))</f>
        <v/>
      </c>
      <c r="K244" s="2" t="inlineStr">
        <is>
          <t>Scommessa / Sconosciuto</t>
        </is>
      </c>
      <c r="L244" s="2" t="n">
        <v>1</v>
      </c>
      <c r="M244" s="2" t="n">
        <v>1</v>
      </c>
    </row>
    <row r="245">
      <c r="A245" s="2" t="inlineStr">
        <is>
          <t>Goldaniga</t>
        </is>
      </c>
      <c r="B245" s="2" t="inlineStr">
        <is>
          <t>Como</t>
        </is>
      </c>
      <c r="C245" s="2" t="inlineStr">
        <is>
          <t>D</t>
        </is>
      </c>
      <c r="D245" s="2" t="inlineStr">
        <is>
          <t>Dc</t>
        </is>
      </c>
      <c r="E245" s="2" t="n">
        <v>1</v>
      </c>
      <c r="F245" s="2" t="n">
        <v>0.75</v>
      </c>
      <c r="G245" s="2" t="n">
        <v>0.5</v>
      </c>
      <c r="H245" s="8" t="inlineStr">
        <is>
          <t>🪑 Riserva Fissa (da fasciaFc)</t>
        </is>
      </c>
      <c r="I245" s="2">
        <f>MAX(1,TRUNC(L245*(Impostazioni!$B$2/500)*1*M245*INDEX(Impostazioni!$E$23:$E$29,MATCH(H245,Impostazioni!$D$23:$D$29,0))))</f>
        <v/>
      </c>
      <c r="J245" s="9">
        <f>MAX(1,TRUNC(L245*(Impostazioni!$B$2/500)*INDEX(Motore!$A$5:$H$8,MATCH(C245,Motore!$A$5:$A$8,0),8)*M245*INDEX(Impostazioni!$E$23:$E$29,MATCH(H245,Impostazioni!$D$23:$D$29,0))))</f>
        <v/>
      </c>
      <c r="K245" s="2" t="inlineStr">
        <is>
          <t>Scommessa / Sconosciuto</t>
        </is>
      </c>
      <c r="L245" s="2" t="n">
        <v>1</v>
      </c>
      <c r="M245" s="2" t="n">
        <v>1.19</v>
      </c>
    </row>
    <row r="246">
      <c r="A246" s="2" t="inlineStr">
        <is>
          <t>Gomes</t>
        </is>
      </c>
      <c r="B246" s="2" t="inlineStr">
        <is>
          <t>Venezia</t>
        </is>
      </c>
      <c r="C246" s="2" t="inlineStr">
        <is>
          <t>D</t>
        </is>
      </c>
      <c r="D246" s="2" t="inlineStr">
        <is>
          <t>Dc;Ds</t>
        </is>
      </c>
      <c r="E246" s="2" t="n">
        <v>1</v>
      </c>
      <c r="F246" s="2" t="n">
        <v>0.5</v>
      </c>
      <c r="G246" s="2" t="n">
        <v>0.5</v>
      </c>
      <c r="H246" s="8" t="inlineStr">
        <is>
          <t>🪑 Riserva Fissa (da fasciaFc)</t>
        </is>
      </c>
      <c r="I246" s="2">
        <f>MAX(1,TRUNC(L246*(Impostazioni!$B$2/500)*1*M246*INDEX(Impostazioni!$E$23:$E$29,MATCH(H246,Impostazioni!$D$23:$D$29,0))))</f>
        <v/>
      </c>
      <c r="J246" s="9">
        <f>MAX(1,TRUNC(L246*(Impostazioni!$B$2/500)*INDEX(Motore!$A$5:$H$8,MATCH(C246,Motore!$A$5:$A$8,0),8)*M246*INDEX(Impostazioni!$E$23:$E$29,MATCH(H246,Impostazioni!$D$23:$D$29,0))))</f>
        <v/>
      </c>
      <c r="K246" s="2" t="inlineStr">
        <is>
          <t>Scommessa / Sconosciuto</t>
        </is>
      </c>
      <c r="L246" s="2" t="n">
        <v>1</v>
      </c>
      <c r="M246" s="2" t="n">
        <v>0.85</v>
      </c>
    </row>
    <row r="247">
      <c r="A247" s="2" t="inlineStr">
        <is>
          <t>Marianucci</t>
        </is>
      </c>
      <c r="B247" s="2" t="inlineStr">
        <is>
          <t>Napoli</t>
        </is>
      </c>
      <c r="C247" s="2" t="inlineStr">
        <is>
          <t>D</t>
        </is>
      </c>
      <c r="D247" s="2" t="inlineStr">
        <is>
          <t>Dc</t>
        </is>
      </c>
      <c r="E247" s="2" t="n">
        <v>1</v>
      </c>
      <c r="F247" s="2" t="n">
        <v>0.65</v>
      </c>
      <c r="G247" s="2" t="n">
        <v>0.5</v>
      </c>
      <c r="H247" s="8" t="inlineStr">
        <is>
          <t>🔴 Infortunato/Dubbio</t>
        </is>
      </c>
      <c r="I247" s="2">
        <f>MAX(1,TRUNC(L247*(Impostazioni!$B$2/500)*1*M247*INDEX(Impostazioni!$E$23:$E$29,MATCH(H247,Impostazioni!$D$23:$D$29,0))))</f>
        <v/>
      </c>
      <c r="J247" s="9">
        <f>MAX(1,TRUNC(L247*(Impostazioni!$B$2/500)*INDEX(Motore!$A$5:$H$8,MATCH(C247,Motore!$A$5:$A$8,0),8)*M247*INDEX(Impostazioni!$E$23:$E$29,MATCH(H247,Impostazioni!$D$23:$D$29,0))))</f>
        <v/>
      </c>
      <c r="K247" s="2" t="inlineStr">
        <is>
          <t>Scommessa / Sconosciuto</t>
        </is>
      </c>
      <c r="L247" s="2" t="n">
        <v>1</v>
      </c>
      <c r="M247" s="2" t="n">
        <v>1.11</v>
      </c>
    </row>
    <row r="248">
      <c r="A248" s="2" t="inlineStr">
        <is>
          <t>Maye</t>
        </is>
      </c>
      <c r="B248" s="2" t="inlineStr">
        <is>
          <t>Monza</t>
        </is>
      </c>
      <c r="C248" s="2" t="inlineStr">
        <is>
          <t>D</t>
        </is>
      </c>
      <c r="D248" s="2" t="inlineStr">
        <is>
          <t>Dc;Ds</t>
        </is>
      </c>
      <c r="E248" s="2" t="n">
        <v>1</v>
      </c>
      <c r="F248" s="2" t="n">
        <v>0.9</v>
      </c>
      <c r="G248" s="2" t="n">
        <v>0.5</v>
      </c>
      <c r="H248" s="8" t="inlineStr">
        <is>
          <t>🪑 Riserva Fissa (da fasciaFc)</t>
        </is>
      </c>
      <c r="I248" s="2">
        <f>MAX(1,TRUNC(L248*(Impostazioni!$B$2/500)*1*M248*INDEX(Impostazioni!$E$23:$E$29,MATCH(H248,Impostazioni!$D$23:$D$29,0))))</f>
        <v/>
      </c>
      <c r="J248" s="9">
        <f>MAX(1,TRUNC(L248*(Impostazioni!$B$2/500)*INDEX(Motore!$A$5:$H$8,MATCH(C248,Motore!$A$5:$A$8,0),8)*M248*INDEX(Impostazioni!$E$23:$E$29,MATCH(H248,Impostazioni!$D$23:$D$29,0))))</f>
        <v/>
      </c>
      <c r="K248" s="2" t="inlineStr">
        <is>
          <t>Scommessa / Sconosciuto</t>
        </is>
      </c>
      <c r="L248" s="2" t="n">
        <v>1</v>
      </c>
      <c r="M248" s="2" t="n">
        <v>0.85</v>
      </c>
    </row>
    <row r="249">
      <c r="A249" s="2" t="inlineStr">
        <is>
          <t>Mazzocchi</t>
        </is>
      </c>
      <c r="B249" s="2" t="inlineStr">
        <is>
          <t>Venezia</t>
        </is>
      </c>
      <c r="C249" s="2" t="inlineStr">
        <is>
          <t>D</t>
        </is>
      </c>
      <c r="D249" s="2" t="inlineStr">
        <is>
          <t>Dd/Ds/E</t>
        </is>
      </c>
      <c r="E249" s="2" t="n">
        <v>1</v>
      </c>
      <c r="F249" s="2" t="n">
        <v>1.45</v>
      </c>
      <c r="G249" s="2" t="n">
        <v>0.5</v>
      </c>
      <c r="H249" s="8" t="inlineStr">
        <is>
          <t>🔴 Infortunato/Dubbio</t>
        </is>
      </c>
      <c r="I249" s="2">
        <f>MAX(1,TRUNC(L249*(Impostazioni!$B$2/500)*1*M249*INDEX(Impostazioni!$E$23:$E$29,MATCH(H249,Impostazioni!$D$23:$D$29,0))))</f>
        <v/>
      </c>
      <c r="J249" s="9">
        <f>MAX(1,TRUNC(L249*(Impostazioni!$B$2/500)*INDEX(Motore!$A$5:$H$8,MATCH(C249,Motore!$A$5:$A$8,0),8)*M249*INDEX(Impostazioni!$E$23:$E$29,MATCH(H249,Impostazioni!$D$23:$D$29,0))))</f>
        <v/>
      </c>
      <c r="K249" s="2" t="inlineStr">
        <is>
          <t>Scommessa / Sconosciuto</t>
        </is>
      </c>
      <c r="L249" s="2" t="n">
        <v>1</v>
      </c>
      <c r="M249" s="2" t="n">
        <v>0.85</v>
      </c>
    </row>
    <row r="250">
      <c r="A250" s="2" t="inlineStr">
        <is>
          <t>Omar Fayed</t>
        </is>
      </c>
      <c r="B250" s="2" t="inlineStr">
        <is>
          <t>Frosinone</t>
        </is>
      </c>
      <c r="C250" s="2" t="inlineStr">
        <is>
          <t>D</t>
        </is>
      </c>
      <c r="D250" s="2" t="inlineStr">
        <is>
          <t>Dc</t>
        </is>
      </c>
      <c r="E250" s="2" t="n">
        <v>1</v>
      </c>
      <c r="F250" s="2" t="n">
        <v>0.5</v>
      </c>
      <c r="G250" s="2" t="n">
        <v>0.5</v>
      </c>
      <c r="H250" s="8" t="inlineStr">
        <is>
          <t>🪑 Riserva Fissa (da fasciaFc)</t>
        </is>
      </c>
      <c r="I250" s="2">
        <f>MAX(1,TRUNC(L250*(Impostazioni!$B$2/500)*1*M250*INDEX(Impostazioni!$E$23:$E$29,MATCH(H250,Impostazioni!$D$23:$D$29,0))))</f>
        <v/>
      </c>
      <c r="J250" s="9">
        <f>MAX(1,TRUNC(L250*(Impostazioni!$B$2/500)*INDEX(Motore!$A$5:$H$8,MATCH(C250,Motore!$A$5:$A$8,0),8)*M250*INDEX(Impostazioni!$E$23:$E$29,MATCH(H250,Impostazioni!$D$23:$D$29,0))))</f>
        <v/>
      </c>
      <c r="K250" s="2" t="inlineStr">
        <is>
          <t>Scommessa / Sconosciuto</t>
        </is>
      </c>
      <c r="L250" s="2" t="n">
        <v>1</v>
      </c>
      <c r="M250" s="2" t="n">
        <v>0.85</v>
      </c>
    </row>
    <row r="251">
      <c r="A251" s="2" t="inlineStr">
        <is>
          <t>Patric</t>
        </is>
      </c>
      <c r="B251" s="2" t="inlineStr">
        <is>
          <t>Lazio</t>
        </is>
      </c>
      <c r="C251" s="2" t="inlineStr">
        <is>
          <t>D</t>
        </is>
      </c>
      <c r="D251" s="2" t="inlineStr">
        <is>
          <t>Dd/Dc</t>
        </is>
      </c>
      <c r="E251" s="2" t="n">
        <v>1</v>
      </c>
      <c r="F251" s="2" t="n">
        <v>0.8</v>
      </c>
      <c r="G251" s="2" t="n">
        <v>0.5</v>
      </c>
      <c r="H251" s="8" t="inlineStr">
        <is>
          <t>🔴 Infortunato/Dubbio</t>
        </is>
      </c>
      <c r="I251" s="2">
        <f>MAX(1,TRUNC(L251*(Impostazioni!$B$2/500)*1*M251*INDEX(Impostazioni!$E$23:$E$29,MATCH(H251,Impostazioni!$D$23:$D$29,0))))</f>
        <v/>
      </c>
      <c r="J251" s="9">
        <f>MAX(1,TRUNC(L251*(Impostazioni!$B$2/500)*INDEX(Motore!$A$5:$H$8,MATCH(C251,Motore!$A$5:$A$8,0),8)*M251*INDEX(Impostazioni!$E$23:$E$29,MATCH(H251,Impostazioni!$D$23:$D$29,0))))</f>
        <v/>
      </c>
      <c r="K251" s="2" t="inlineStr">
        <is>
          <t>Scommessa / Sconosciuto</t>
        </is>
      </c>
      <c r="L251" s="2" t="n">
        <v>1</v>
      </c>
      <c r="M251" s="2" t="n">
        <v>1</v>
      </c>
    </row>
    <row r="252">
      <c r="A252" s="2" t="inlineStr">
        <is>
          <t>Pieragnolo</t>
        </is>
      </c>
      <c r="B252" s="2" t="inlineStr">
        <is>
          <t>Sassuolo</t>
        </is>
      </c>
      <c r="C252" s="2" t="inlineStr">
        <is>
          <t>D</t>
        </is>
      </c>
      <c r="D252" s="2" t="inlineStr">
        <is>
          <t>Ds;E</t>
        </is>
      </c>
      <c r="E252" s="2" t="n">
        <v>1</v>
      </c>
      <c r="F252" s="2" t="n">
        <v>0.5</v>
      </c>
      <c r="G252" s="2" t="n">
        <v>0.5</v>
      </c>
      <c r="H252" s="8" t="inlineStr">
        <is>
          <t>🔴 Infortunato/Dubbio</t>
        </is>
      </c>
      <c r="I252" s="2">
        <f>MAX(1,TRUNC(L252*(Impostazioni!$B$2/500)*1*M252*INDEX(Impostazioni!$E$23:$E$29,MATCH(H252,Impostazioni!$D$23:$D$29,0))))</f>
        <v/>
      </c>
      <c r="J252" s="9">
        <f>MAX(1,TRUNC(L252*(Impostazioni!$B$2/500)*INDEX(Motore!$A$5:$H$8,MATCH(C252,Motore!$A$5:$A$8,0),8)*M252*INDEX(Impostazioni!$E$23:$E$29,MATCH(H252,Impostazioni!$D$23:$D$29,0))))</f>
        <v/>
      </c>
      <c r="K252" s="2" t="inlineStr">
        <is>
          <t>Scommessa / Sconosciuto</t>
        </is>
      </c>
      <c r="L252" s="2" t="n">
        <v>1</v>
      </c>
      <c r="M252" s="2" t="n">
        <v>1</v>
      </c>
    </row>
    <row r="253">
      <c r="A253" s="2" t="inlineStr">
        <is>
          <t>Rugani</t>
        </is>
      </c>
      <c r="B253" s="2" t="inlineStr">
        <is>
          <t>Juventus</t>
        </is>
      </c>
      <c r="C253" s="2" t="inlineStr">
        <is>
          <t>D</t>
        </is>
      </c>
      <c r="D253" s="2" t="inlineStr">
        <is>
          <t>Dc</t>
        </is>
      </c>
      <c r="E253" s="2" t="n">
        <v>1</v>
      </c>
      <c r="F253" s="2" t="n">
        <v>0.8</v>
      </c>
      <c r="G253" s="2" t="n">
        <v>0.5</v>
      </c>
      <c r="H253" s="8" t="inlineStr">
        <is>
          <t>🪑 Riserva Fissa (da fasciaFc)</t>
        </is>
      </c>
      <c r="I253" s="2">
        <f>MAX(1,TRUNC(L253*(Impostazioni!$B$2/500)*1*M253*INDEX(Impostazioni!$E$23:$E$29,MATCH(H253,Impostazioni!$D$23:$D$29,0))))</f>
        <v/>
      </c>
      <c r="J253" s="9">
        <f>MAX(1,TRUNC(L253*(Impostazioni!$B$2/500)*INDEX(Motore!$A$5:$H$8,MATCH(C253,Motore!$A$5:$A$8,0),8)*M253*INDEX(Impostazioni!$E$23:$E$29,MATCH(H253,Impostazioni!$D$23:$D$29,0))))</f>
        <v/>
      </c>
      <c r="K253" s="2" t="inlineStr">
        <is>
          <t>Scommessa / Sconosciuto</t>
        </is>
      </c>
      <c r="L253" s="2" t="n">
        <v>1</v>
      </c>
      <c r="M253" s="2" t="n">
        <v>1.12</v>
      </c>
    </row>
    <row r="254">
      <c r="A254" s="2" t="inlineStr">
        <is>
          <t>Ziolkowski</t>
        </is>
      </c>
      <c r="B254" s="2" t="inlineStr">
        <is>
          <t>Monza</t>
        </is>
      </c>
      <c r="C254" s="2" t="inlineStr">
        <is>
          <t>D</t>
        </is>
      </c>
      <c r="D254" s="2" t="inlineStr">
        <is>
          <t>Dc</t>
        </is>
      </c>
      <c r="E254" s="2" t="n">
        <v>1</v>
      </c>
      <c r="F254" s="2" t="n">
        <v>1.1</v>
      </c>
      <c r="G254" s="2" t="n">
        <v>0.5</v>
      </c>
      <c r="H254" s="8" t="inlineStr">
        <is>
          <t>🟡 Ballottaggio</t>
        </is>
      </c>
      <c r="I254" s="2">
        <f>MAX(1,TRUNC(L254*(Impostazioni!$B$2/500)*1*M254*INDEX(Impostazioni!$E$23:$E$29,MATCH(H254,Impostazioni!$D$23:$D$29,0))))</f>
        <v/>
      </c>
      <c r="J254" s="9">
        <f>MAX(1,TRUNC(L254*(Impostazioni!$B$2/500)*INDEX(Motore!$A$5:$H$8,MATCH(C254,Motore!$A$5:$A$8,0),8)*M254*INDEX(Impostazioni!$E$23:$E$29,MATCH(H254,Impostazioni!$D$23:$D$29,0))))</f>
        <v/>
      </c>
      <c r="K254" s="2" t="inlineStr">
        <is>
          <t>Scommessa / Sconosciuto</t>
        </is>
      </c>
      <c r="L254" s="2" t="n">
        <v>1</v>
      </c>
      <c r="M254" s="2" t="n">
        <v>0.85</v>
      </c>
    </row>
    <row r="255">
      <c r="A255" s="2" t="inlineStr">
        <is>
          <t>Paz N.</t>
        </is>
      </c>
      <c r="B255" s="2" t="inlineStr">
        <is>
          <t>Como</t>
        </is>
      </c>
      <c r="C255" s="2" t="inlineStr">
        <is>
          <t>C</t>
        </is>
      </c>
      <c r="D255" s="2" t="inlineStr">
        <is>
          <t>T/A</t>
        </is>
      </c>
      <c r="E255" s="2" t="n">
        <v>29</v>
      </c>
      <c r="F255" s="2" t="n">
        <v>92.75</v>
      </c>
      <c r="G255" s="2" t="n">
        <v>84.34999999999999</v>
      </c>
      <c r="H255" s="8" t="inlineStr">
        <is>
          <t>Normale</t>
        </is>
      </c>
      <c r="I255" s="2">
        <f>MAX(1,TRUNC(L255*(Impostazioni!$B$2/500)*1*M255*INDEX(Impostazioni!$E$23:$E$29,MATCH(H255,Impostazioni!$D$23:$D$29,0))))</f>
        <v/>
      </c>
      <c r="J255" s="9">
        <f>MAX(1,TRUNC(L255*(Impostazioni!$B$2/500)*INDEX(Motore!$A$5:$H$8,MATCH(C255,Motore!$A$5:$A$8,0),8)*M255*INDEX(Impostazioni!$E$23:$E$29,MATCH(H255,Impostazioni!$D$23:$D$29,0))))</f>
        <v/>
      </c>
      <c r="K255" s="2" t="inlineStr">
        <is>
          <t>🌟 Nuovo Arrivo TOP</t>
        </is>
      </c>
      <c r="L255" s="2" t="n">
        <v>55.1</v>
      </c>
      <c r="M255" s="2" t="n">
        <v>1</v>
      </c>
    </row>
    <row r="256">
      <c r="A256" s="2" t="inlineStr">
        <is>
          <t>Calhanoglu</t>
        </is>
      </c>
      <c r="B256" s="2" t="inlineStr">
        <is>
          <t>Inter</t>
        </is>
      </c>
      <c r="C256" s="2" t="inlineStr">
        <is>
          <t>C</t>
        </is>
      </c>
      <c r="D256" s="2" t="inlineStr">
        <is>
          <t>M/C</t>
        </is>
      </c>
      <c r="E256" s="2" t="n">
        <v>28</v>
      </c>
      <c r="F256" s="2" t="n">
        <v>84.90000000000001</v>
      </c>
      <c r="G256" s="2" t="n">
        <v>69.15000000000001</v>
      </c>
      <c r="H256" s="8" t="inlineStr">
        <is>
          <t>🎯 Rigorista designato</t>
        </is>
      </c>
      <c r="I256" s="2">
        <f>MAX(1,TRUNC(L256*(Impostazioni!$B$2/500)*1*M256*INDEX(Impostazioni!$E$23:$E$29,MATCH(H256,Impostazioni!$D$23:$D$29,0))))</f>
        <v/>
      </c>
      <c r="J256" s="9">
        <f>MAX(1,TRUNC(L256*(Impostazioni!$B$2/500)*INDEX(Motore!$A$5:$H$8,MATCH(C256,Motore!$A$5:$A$8,0),8)*M256*INDEX(Impostazioni!$E$23:$E$29,MATCH(H256,Impostazioni!$D$23:$D$29,0))))</f>
        <v/>
      </c>
      <c r="K256" s="2" t="inlineStr">
        <is>
          <t>🌟 Nuovo Arrivo TOP</t>
        </is>
      </c>
      <c r="L256" s="2" t="n">
        <v>53.2</v>
      </c>
      <c r="M256" s="2" t="n">
        <v>1</v>
      </c>
    </row>
    <row r="257">
      <c r="A257" s="2" t="inlineStr">
        <is>
          <t>McTominay</t>
        </is>
      </c>
      <c r="B257" s="2" t="inlineStr">
        <is>
          <t>Napoli</t>
        </is>
      </c>
      <c r="C257" s="2" t="inlineStr">
        <is>
          <t>C</t>
        </is>
      </c>
      <c r="D257" s="2" t="inlineStr">
        <is>
          <t>C/T</t>
        </is>
      </c>
      <c r="E257" s="2" t="n">
        <v>27</v>
      </c>
      <c r="F257" s="2" t="n">
        <v>58.85</v>
      </c>
      <c r="G257" s="2" t="n">
        <v>58.75</v>
      </c>
      <c r="H257" s="8" t="inlineStr">
        <is>
          <t>🔴 Infortunato/Dubbio</t>
        </is>
      </c>
      <c r="I257" s="2">
        <f>MAX(1,TRUNC(L257*(Impostazioni!$B$2/500)*1*M257*INDEX(Impostazioni!$E$23:$E$29,MATCH(H257,Impostazioni!$D$23:$D$29,0))))</f>
        <v/>
      </c>
      <c r="J257" s="9">
        <f>MAX(1,TRUNC(L257*(Impostazioni!$B$2/500)*INDEX(Motore!$A$5:$H$8,MATCH(C257,Motore!$A$5:$A$8,0),8)*M257*INDEX(Impostazioni!$E$23:$E$29,MATCH(H257,Impostazioni!$D$23:$D$29,0))))</f>
        <v/>
      </c>
      <c r="K257" s="2" t="inlineStr">
        <is>
          <t>🌟 Nuovo Arrivo TOP</t>
        </is>
      </c>
      <c r="L257" s="2" t="n">
        <v>51.3</v>
      </c>
      <c r="M257" s="2" t="n">
        <v>1</v>
      </c>
    </row>
    <row r="258">
      <c r="A258" s="2" t="inlineStr">
        <is>
          <t>Orsolini</t>
        </is>
      </c>
      <c r="B258" s="2" t="inlineStr">
        <is>
          <t>Bologna</t>
        </is>
      </c>
      <c r="C258" s="2" t="inlineStr">
        <is>
          <t>C</t>
        </is>
      </c>
      <c r="D258" s="2" t="inlineStr">
        <is>
          <t>W/A</t>
        </is>
      </c>
      <c r="E258" s="2" t="n">
        <v>25</v>
      </c>
      <c r="F258" s="2" t="n">
        <v>45.15</v>
      </c>
      <c r="G258" s="2" t="n">
        <v>58.95</v>
      </c>
      <c r="H258" s="8" t="inlineStr">
        <is>
          <t>🔴 Infortunato/Dubbio</t>
        </is>
      </c>
      <c r="I258" s="2">
        <f>MAX(1,TRUNC(L258*(Impostazioni!$B$2/500)*1*M258*INDEX(Impostazioni!$E$23:$E$29,MATCH(H258,Impostazioni!$D$23:$D$29,0))))</f>
        <v/>
      </c>
      <c r="J258" s="9">
        <f>MAX(1,TRUNC(L258*(Impostazioni!$B$2/500)*INDEX(Motore!$A$5:$H$8,MATCH(C258,Motore!$A$5:$A$8,0),8)*M258*INDEX(Impostazioni!$E$23:$E$29,MATCH(H258,Impostazioni!$D$23:$D$29,0))))</f>
        <v/>
      </c>
      <c r="K258" s="2" t="inlineStr">
        <is>
          <t>🌟 Nuovo Arrivo TOP</t>
        </is>
      </c>
      <c r="L258" s="2" t="n">
        <v>47.5</v>
      </c>
      <c r="M258" s="2" t="n">
        <v>1</v>
      </c>
    </row>
    <row r="259">
      <c r="A259" s="2" t="inlineStr">
        <is>
          <t>Pulisic</t>
        </is>
      </c>
      <c r="B259" s="2" t="inlineStr">
        <is>
          <t>Milan</t>
        </is>
      </c>
      <c r="C259" s="2" t="inlineStr">
        <is>
          <t>C</t>
        </is>
      </c>
      <c r="D259" s="2" t="inlineStr">
        <is>
          <t>T/A</t>
        </is>
      </c>
      <c r="E259" s="2" t="n">
        <v>24</v>
      </c>
      <c r="F259" s="2" t="n">
        <v>53.85</v>
      </c>
      <c r="G259" s="2" t="n">
        <v>66.15000000000001</v>
      </c>
      <c r="H259" s="8" t="inlineStr">
        <is>
          <t>Normale</t>
        </is>
      </c>
      <c r="I259" s="2">
        <f>MAX(1,TRUNC(L259*(Impostazioni!$B$2/500)*1*M259*INDEX(Impostazioni!$E$23:$E$29,MATCH(H259,Impostazioni!$D$23:$D$29,0))))</f>
        <v/>
      </c>
      <c r="J259" s="9">
        <f>MAX(1,TRUNC(L259*(Impostazioni!$B$2/500)*INDEX(Motore!$A$5:$H$8,MATCH(C259,Motore!$A$5:$A$8,0),8)*M259*INDEX(Impostazioni!$E$23:$E$29,MATCH(H259,Impostazioni!$D$23:$D$29,0))))</f>
        <v/>
      </c>
      <c r="K259" s="2" t="inlineStr">
        <is>
          <t>🌟 Nuovo Arrivo TOP</t>
        </is>
      </c>
      <c r="L259" s="2" t="n">
        <v>45.6</v>
      </c>
      <c r="M259" s="2" t="n">
        <v>1</v>
      </c>
    </row>
    <row r="260">
      <c r="A260" s="2" t="inlineStr">
        <is>
          <t>Rabiot</t>
        </is>
      </c>
      <c r="B260" s="2" t="inlineStr">
        <is>
          <t>Milan</t>
        </is>
      </c>
      <c r="C260" s="2" t="inlineStr">
        <is>
          <t>C</t>
        </is>
      </c>
      <c r="D260" s="2" t="inlineStr">
        <is>
          <t>C/T</t>
        </is>
      </c>
      <c r="E260" s="2" t="n">
        <v>23</v>
      </c>
      <c r="F260" s="2" t="n">
        <v>47.65</v>
      </c>
      <c r="G260" s="2" t="n">
        <v>34.6</v>
      </c>
      <c r="H260" s="8" t="inlineStr">
        <is>
          <t>Normale</t>
        </is>
      </c>
      <c r="I260" s="2">
        <f>MAX(1,TRUNC(L260*(Impostazioni!$B$2/500)*1*M260*INDEX(Impostazioni!$E$23:$E$29,MATCH(H260,Impostazioni!$D$23:$D$29,0))))</f>
        <v/>
      </c>
      <c r="J260" s="9">
        <f>MAX(1,TRUNC(L260*(Impostazioni!$B$2/500)*INDEX(Motore!$A$5:$H$8,MATCH(C260,Motore!$A$5:$A$8,0),8)*M260*INDEX(Impostazioni!$E$23:$E$29,MATCH(H260,Impostazioni!$D$23:$D$29,0))))</f>
        <v/>
      </c>
      <c r="K260" s="2" t="inlineStr">
        <is>
          <t>🌟 Nuovo Arrivo TOP</t>
        </is>
      </c>
      <c r="L260" s="2" t="n">
        <v>43.7</v>
      </c>
      <c r="M260" s="2" t="n">
        <v>1</v>
      </c>
    </row>
    <row r="261">
      <c r="A261" s="2" t="inlineStr">
        <is>
          <t>Baturina</t>
        </is>
      </c>
      <c r="B261" s="2" t="inlineStr">
        <is>
          <t>Como</t>
        </is>
      </c>
      <c r="C261" s="2" t="inlineStr">
        <is>
          <t>C</t>
        </is>
      </c>
      <c r="D261" s="2" t="inlineStr">
        <is>
          <t>T</t>
        </is>
      </c>
      <c r="E261" s="2" t="n">
        <v>20</v>
      </c>
      <c r="F261" s="2" t="n">
        <v>49.9</v>
      </c>
      <c r="G261" s="2" t="n">
        <v>44.25</v>
      </c>
      <c r="H261" s="8" t="inlineStr">
        <is>
          <t>Normale</t>
        </is>
      </c>
      <c r="I261" s="2">
        <f>MAX(1,TRUNC(L261*(Impostazioni!$B$2/500)*1*M261*INDEX(Impostazioni!$E$23:$E$29,MATCH(H261,Impostazioni!$D$23:$D$29,0))))</f>
        <v/>
      </c>
      <c r="J261" s="9">
        <f>MAX(1,TRUNC(L261*(Impostazioni!$B$2/500)*INDEX(Motore!$A$5:$H$8,MATCH(C261,Motore!$A$5:$A$8,0),8)*M261*INDEX(Impostazioni!$E$23:$E$29,MATCH(H261,Impostazioni!$D$23:$D$29,0))))</f>
        <v/>
      </c>
      <c r="K261" s="2" t="inlineStr">
        <is>
          <t>🌟 Nuovo Arrivo TOP</t>
        </is>
      </c>
      <c r="L261" s="2" t="n">
        <v>38</v>
      </c>
      <c r="M261" s="2" t="n">
        <v>1</v>
      </c>
    </row>
    <row r="262">
      <c r="A262" s="2" t="inlineStr">
        <is>
          <t>Mora</t>
        </is>
      </c>
      <c r="B262" s="2" t="inlineStr">
        <is>
          <t>Roma</t>
        </is>
      </c>
      <c r="C262" s="2" t="inlineStr">
        <is>
          <t>C</t>
        </is>
      </c>
      <c r="D262" s="2" t="inlineStr">
        <is>
          <t>T</t>
        </is>
      </c>
      <c r="E262" s="2" t="n">
        <v>20</v>
      </c>
      <c r="F262" s="2" t="n">
        <v>35.45</v>
      </c>
      <c r="G262" s="2" t="n">
        <v>33.6</v>
      </c>
      <c r="H262" s="8" t="inlineStr">
        <is>
          <t>Normale</t>
        </is>
      </c>
      <c r="I262" s="2">
        <f>MAX(1,TRUNC(L262*(Impostazioni!$B$2/500)*1*M262*INDEX(Impostazioni!$E$23:$E$29,MATCH(H262,Impostazioni!$D$23:$D$29,0))))</f>
        <v/>
      </c>
      <c r="J262" s="9">
        <f>MAX(1,TRUNC(L262*(Impostazioni!$B$2/500)*INDEX(Motore!$A$5:$H$8,MATCH(C262,Motore!$A$5:$A$8,0),8)*M262*INDEX(Impostazioni!$E$23:$E$29,MATCH(H262,Impostazioni!$D$23:$D$29,0))))</f>
        <v/>
      </c>
      <c r="K262" s="2" t="inlineStr">
        <is>
          <t>🌟 Nuovo Arrivo TOP</t>
        </is>
      </c>
      <c r="L262" s="2" t="n">
        <v>38</v>
      </c>
      <c r="M262" s="2" t="n">
        <v>1</v>
      </c>
    </row>
    <row r="263">
      <c r="A263" s="2" t="inlineStr">
        <is>
          <t>Barella</t>
        </is>
      </c>
      <c r="B263" s="2" t="inlineStr">
        <is>
          <t>Inter</t>
        </is>
      </c>
      <c r="C263" s="2" t="inlineStr">
        <is>
          <t>C</t>
        </is>
      </c>
      <c r="D263" s="2" t="inlineStr">
        <is>
          <t>C</t>
        </is>
      </c>
      <c r="E263" s="2" t="n">
        <v>18</v>
      </c>
      <c r="F263" s="2" t="n">
        <v>29.15</v>
      </c>
      <c r="G263" s="2" t="n">
        <v>27.3</v>
      </c>
      <c r="H263" s="8" t="inlineStr">
        <is>
          <t>Normale</t>
        </is>
      </c>
      <c r="I263" s="2">
        <f>MAX(1,TRUNC(L263*(Impostazioni!$B$2/500)*1*M263*INDEX(Impostazioni!$E$23:$E$29,MATCH(H263,Impostazioni!$D$23:$D$29,0))))</f>
        <v/>
      </c>
      <c r="J263" s="9">
        <f>MAX(1,TRUNC(L263*(Impostazioni!$B$2/500)*INDEX(Motore!$A$5:$H$8,MATCH(C263,Motore!$A$5:$A$8,0),8)*M263*INDEX(Impostazioni!$E$23:$E$29,MATCH(H263,Impostazioni!$D$23:$D$29,0))))</f>
        <v/>
      </c>
      <c r="K263" s="2" t="inlineStr">
        <is>
          <t>🌟 Nuovo Arrivo TOP</t>
        </is>
      </c>
      <c r="L263" s="2" t="n">
        <v>34.2</v>
      </c>
      <c r="M263" s="2" t="n">
        <v>1</v>
      </c>
    </row>
    <row r="264">
      <c r="A264" s="2" t="inlineStr">
        <is>
          <t>Da Cunha</t>
        </is>
      </c>
      <c r="B264" s="2" t="inlineStr">
        <is>
          <t>Como</t>
        </is>
      </c>
      <c r="C264" s="2" t="inlineStr">
        <is>
          <t>C</t>
        </is>
      </c>
      <c r="D264" s="2" t="inlineStr">
        <is>
          <t>C/T</t>
        </is>
      </c>
      <c r="E264" s="2" t="n">
        <v>18</v>
      </c>
      <c r="F264" s="2" t="n">
        <v>28.95</v>
      </c>
      <c r="G264" s="2" t="n">
        <v>33.1</v>
      </c>
      <c r="H264" s="8" t="inlineStr">
        <is>
          <t>🎯 Rigorista designato</t>
        </is>
      </c>
      <c r="I264" s="2">
        <f>MAX(1,TRUNC(L264*(Impostazioni!$B$2/500)*1*M264*INDEX(Impostazioni!$E$23:$E$29,MATCH(H264,Impostazioni!$D$23:$D$29,0))))</f>
        <v/>
      </c>
      <c r="J264" s="9">
        <f>MAX(1,TRUNC(L264*(Impostazioni!$B$2/500)*INDEX(Motore!$A$5:$H$8,MATCH(C264,Motore!$A$5:$A$8,0),8)*M264*INDEX(Impostazioni!$E$23:$E$29,MATCH(H264,Impostazioni!$D$23:$D$29,0))))</f>
        <v/>
      </c>
      <c r="K264" s="2" t="inlineStr">
        <is>
          <t>🌟 Nuovo Arrivo TOP</t>
        </is>
      </c>
      <c r="L264" s="2" t="n">
        <v>34.2</v>
      </c>
      <c r="M264" s="2" t="n">
        <v>1</v>
      </c>
    </row>
    <row r="265">
      <c r="A265" s="2" t="inlineStr">
        <is>
          <t>Zaniolo</t>
        </is>
      </c>
      <c r="B265" s="2" t="inlineStr">
        <is>
          <t>Udinese</t>
        </is>
      </c>
      <c r="C265" s="2" t="inlineStr">
        <is>
          <t>C</t>
        </is>
      </c>
      <c r="D265" s="2" t="inlineStr">
        <is>
          <t>T/A</t>
        </is>
      </c>
      <c r="E265" s="2" t="n">
        <v>18</v>
      </c>
      <c r="F265" s="2" t="n">
        <v>20.6</v>
      </c>
      <c r="G265" s="2" t="n">
        <v>30.35</v>
      </c>
      <c r="H265" s="8" t="inlineStr">
        <is>
          <t>🔴 Infortunato/Dubbio</t>
        </is>
      </c>
      <c r="I265" s="2">
        <f>MAX(1,TRUNC(L265*(Impostazioni!$B$2/500)*1*M265*INDEX(Impostazioni!$E$23:$E$29,MATCH(H265,Impostazioni!$D$23:$D$29,0))))</f>
        <v/>
      </c>
      <c r="J265" s="9">
        <f>MAX(1,TRUNC(L265*(Impostazioni!$B$2/500)*INDEX(Motore!$A$5:$H$8,MATCH(C265,Motore!$A$5:$A$8,0),8)*M265*INDEX(Impostazioni!$E$23:$E$29,MATCH(H265,Impostazioni!$D$23:$D$29,0))))</f>
        <v/>
      </c>
      <c r="K265" s="2" t="inlineStr">
        <is>
          <t>🌟 Nuovo Arrivo TOP</t>
        </is>
      </c>
      <c r="L265" s="2" t="n">
        <v>34.2</v>
      </c>
      <c r="M265" s="2" t="n">
        <v>1</v>
      </c>
    </row>
    <row r="266">
      <c r="A266" s="2" t="inlineStr">
        <is>
          <t>De Bruyne</t>
        </is>
      </c>
      <c r="B266" s="2" t="inlineStr">
        <is>
          <t>Napoli</t>
        </is>
      </c>
      <c r="C266" s="2" t="inlineStr">
        <is>
          <t>C</t>
        </is>
      </c>
      <c r="D266" s="2" t="inlineStr">
        <is>
          <t>T</t>
        </is>
      </c>
      <c r="E266" s="2" t="n">
        <v>17</v>
      </c>
      <c r="F266" s="2" t="n">
        <v>28.35</v>
      </c>
      <c r="G266" s="2" t="n">
        <v>46.55</v>
      </c>
      <c r="H266" s="8" t="inlineStr">
        <is>
          <t>🎯🟡 Rigorista in Ballottaggio</t>
        </is>
      </c>
      <c r="I266" s="2">
        <f>MAX(1,TRUNC(L266*(Impostazioni!$B$2/500)*1*M266*INDEX(Impostazioni!$E$23:$E$29,MATCH(H266,Impostazioni!$D$23:$D$29,0))))</f>
        <v/>
      </c>
      <c r="J266" s="9">
        <f>MAX(1,TRUNC(L266*(Impostazioni!$B$2/500)*INDEX(Motore!$A$5:$H$8,MATCH(C266,Motore!$A$5:$A$8,0),8)*M266*INDEX(Impostazioni!$E$23:$E$29,MATCH(H266,Impostazioni!$D$23:$D$29,0))))</f>
        <v/>
      </c>
      <c r="K266" s="2" t="inlineStr">
        <is>
          <t>🌟 Nuovo Arrivo TOP</t>
        </is>
      </c>
      <c r="L266" s="2" t="n">
        <v>32.3</v>
      </c>
      <c r="M266" s="2" t="n">
        <v>1</v>
      </c>
    </row>
    <row r="267">
      <c r="A267" s="2" t="inlineStr">
        <is>
          <t>McKennie</t>
        </is>
      </c>
      <c r="B267" s="2" t="inlineStr">
        <is>
          <t>Juventus</t>
        </is>
      </c>
      <c r="C267" s="2" t="inlineStr">
        <is>
          <t>C</t>
        </is>
      </c>
      <c r="D267" s="2" t="inlineStr">
        <is>
          <t>C/T</t>
        </is>
      </c>
      <c r="E267" s="2" t="n">
        <v>17</v>
      </c>
      <c r="F267" s="2" t="n">
        <v>20.3</v>
      </c>
      <c r="G267" s="2" t="n">
        <v>23.35</v>
      </c>
      <c r="H267" s="8" t="inlineStr">
        <is>
          <t>🔴 Infortunato/Dubbio</t>
        </is>
      </c>
      <c r="I267" s="2">
        <f>MAX(1,TRUNC(L267*(Impostazioni!$B$2/500)*1*M267*INDEX(Impostazioni!$E$23:$E$29,MATCH(H267,Impostazioni!$D$23:$D$29,0))))</f>
        <v/>
      </c>
      <c r="J267" s="9">
        <f>MAX(1,TRUNC(L267*(Impostazioni!$B$2/500)*INDEX(Motore!$A$5:$H$8,MATCH(C267,Motore!$A$5:$A$8,0),8)*M267*INDEX(Impostazioni!$E$23:$E$29,MATCH(H267,Impostazioni!$D$23:$D$29,0))))</f>
        <v/>
      </c>
      <c r="K267" s="2" t="inlineStr">
        <is>
          <t>🌟 Nuovo Arrivo TOP</t>
        </is>
      </c>
      <c r="L267" s="2" t="n">
        <v>32.3</v>
      </c>
      <c r="M267" s="2" t="n">
        <v>1</v>
      </c>
    </row>
    <row r="268">
      <c r="A268" s="2" t="inlineStr">
        <is>
          <t>Zaccagni</t>
        </is>
      </c>
      <c r="B268" s="2" t="inlineStr">
        <is>
          <t>Lazio</t>
        </is>
      </c>
      <c r="C268" s="2" t="inlineStr">
        <is>
          <t>C</t>
        </is>
      </c>
      <c r="D268" s="2" t="inlineStr">
        <is>
          <t>W/A</t>
        </is>
      </c>
      <c r="E268" s="2" t="n">
        <v>16</v>
      </c>
      <c r="F268" s="2" t="n">
        <v>32.15</v>
      </c>
      <c r="G268" s="2" t="n">
        <v>39.65</v>
      </c>
      <c r="H268" s="8" t="inlineStr">
        <is>
          <t>🎯 Rigorista designato</t>
        </is>
      </c>
      <c r="I268" s="2">
        <f>MAX(1,TRUNC(L268*(Impostazioni!$B$2/500)*1*M268*INDEX(Impostazioni!$E$23:$E$29,MATCH(H268,Impostazioni!$D$23:$D$29,0))))</f>
        <v/>
      </c>
      <c r="J268" s="9">
        <f>MAX(1,TRUNC(L268*(Impostazioni!$B$2/500)*INDEX(Motore!$A$5:$H$8,MATCH(C268,Motore!$A$5:$A$8,0),8)*M268*INDEX(Impostazioni!$E$23:$E$29,MATCH(H268,Impostazioni!$D$23:$D$29,0))))</f>
        <v/>
      </c>
      <c r="K268" s="2" t="inlineStr">
        <is>
          <t>🌟 Nuovo Arrivo TOP</t>
        </is>
      </c>
      <c r="L268" s="2" t="n">
        <v>30.4</v>
      </c>
      <c r="M268" s="2" t="n">
        <v>1</v>
      </c>
    </row>
    <row r="269">
      <c r="A269" s="2" t="inlineStr">
        <is>
          <t>Atta</t>
        </is>
      </c>
      <c r="B269" s="2" t="inlineStr">
        <is>
          <t>Fiorentina</t>
        </is>
      </c>
      <c r="C269" s="2" t="inlineStr">
        <is>
          <t>C</t>
        </is>
      </c>
      <c r="D269" s="2" t="inlineStr">
        <is>
          <t>C/T</t>
        </is>
      </c>
      <c r="E269" s="2" t="n">
        <v>15</v>
      </c>
      <c r="F269" s="2" t="n">
        <v>25.45</v>
      </c>
      <c r="G269" s="2" t="n">
        <v>39.35</v>
      </c>
      <c r="H269" s="8" t="inlineStr">
        <is>
          <t>Normale</t>
        </is>
      </c>
      <c r="I269" s="2">
        <f>MAX(1,TRUNC(L269*(Impostazioni!$B$2/500)*1*M269*INDEX(Impostazioni!$E$23:$E$29,MATCH(H269,Impostazioni!$D$23:$D$29,0))))</f>
        <v/>
      </c>
      <c r="J269" s="9">
        <f>MAX(1,TRUNC(L269*(Impostazioni!$B$2/500)*INDEX(Motore!$A$5:$H$8,MATCH(C269,Motore!$A$5:$A$8,0),8)*M269*INDEX(Impostazioni!$E$23:$E$29,MATCH(H269,Impostazioni!$D$23:$D$29,0))))</f>
        <v/>
      </c>
      <c r="K269" s="2" t="inlineStr">
        <is>
          <t>🌟 Nuovo Arrivo TOP</t>
        </is>
      </c>
      <c r="L269" s="2" t="n">
        <v>28.5</v>
      </c>
      <c r="M269" s="2" t="n">
        <v>1</v>
      </c>
    </row>
    <row r="270">
      <c r="A270" s="2" t="inlineStr">
        <is>
          <t>Conceicao</t>
        </is>
      </c>
      <c r="B270" s="2" t="inlineStr">
        <is>
          <t>Juventus</t>
        </is>
      </c>
      <c r="C270" s="2" t="inlineStr">
        <is>
          <t>C</t>
        </is>
      </c>
      <c r="D270" s="2" t="inlineStr">
        <is>
          <t>W/A</t>
        </is>
      </c>
      <c r="E270" s="2" t="n">
        <v>13</v>
      </c>
      <c r="F270" s="2" t="n">
        <v>26.65</v>
      </c>
      <c r="G270" s="2" t="n">
        <v>35.25</v>
      </c>
      <c r="H270" s="8" t="inlineStr">
        <is>
          <t>Normale</t>
        </is>
      </c>
      <c r="I270" s="2">
        <f>MAX(1,TRUNC(L270*(Impostazioni!$B$2/500)*1*M270*INDEX(Impostazioni!$E$23:$E$29,MATCH(H270,Impostazioni!$D$23:$D$29,0))))</f>
        <v/>
      </c>
      <c r="J270" s="9">
        <f>MAX(1,TRUNC(L270*(Impostazioni!$B$2/500)*INDEX(Motore!$A$5:$H$8,MATCH(C270,Motore!$A$5:$A$8,0),8)*M270*INDEX(Impostazioni!$E$23:$E$29,MATCH(H270,Impostazioni!$D$23:$D$29,0))))</f>
        <v/>
      </c>
      <c r="K270" s="2" t="inlineStr">
        <is>
          <t>🌟 Nuovo Arrivo TOP</t>
        </is>
      </c>
      <c r="L270" s="2" t="n">
        <v>24.7</v>
      </c>
      <c r="M270" s="2" t="n">
        <v>1</v>
      </c>
    </row>
    <row r="271">
      <c r="A271" s="2" t="inlineStr">
        <is>
          <t>Samardzic</t>
        </is>
      </c>
      <c r="B271" s="2" t="inlineStr">
        <is>
          <t>Atalanta</t>
        </is>
      </c>
      <c r="C271" s="2" t="inlineStr">
        <is>
          <t>C</t>
        </is>
      </c>
      <c r="D271" s="2" t="inlineStr">
        <is>
          <t>C/T</t>
        </is>
      </c>
      <c r="E271" s="2" t="n">
        <v>13</v>
      </c>
      <c r="F271" s="2" t="n">
        <v>13.6</v>
      </c>
      <c r="G271" s="2" t="n">
        <v>15.55</v>
      </c>
      <c r="H271" s="8" t="inlineStr">
        <is>
          <t>🟡 Ballottaggio</t>
        </is>
      </c>
      <c r="I271" s="2">
        <f>MAX(1,TRUNC(L271*(Impostazioni!$B$2/500)*1*M271*INDEX(Impostazioni!$E$23:$E$29,MATCH(H271,Impostazioni!$D$23:$D$29,0))))</f>
        <v/>
      </c>
      <c r="J271" s="9">
        <f>MAX(1,TRUNC(L271*(Impostazioni!$B$2/500)*INDEX(Motore!$A$5:$H$8,MATCH(C271,Motore!$A$5:$A$8,0),8)*M271*INDEX(Impostazioni!$E$23:$E$29,MATCH(H271,Impostazioni!$D$23:$D$29,0))))</f>
        <v/>
      </c>
      <c r="K271" s="2" t="inlineStr">
        <is>
          <t>🌟 Nuovo Arrivo TOP</t>
        </is>
      </c>
      <c r="L271" s="2" t="n">
        <v>24.7</v>
      </c>
      <c r="M271" s="2" t="n">
        <v>1</v>
      </c>
    </row>
    <row r="272">
      <c r="A272" s="2" t="inlineStr">
        <is>
          <t>Taylor K.</t>
        </is>
      </c>
      <c r="B272" s="2" t="inlineStr">
        <is>
          <t>Lazio</t>
        </is>
      </c>
      <c r="C272" s="2" t="inlineStr">
        <is>
          <t>C</t>
        </is>
      </c>
      <c r="D272" s="2" t="inlineStr">
        <is>
          <t>C/T</t>
        </is>
      </c>
      <c r="E272" s="2" t="n">
        <v>13</v>
      </c>
      <c r="F272" s="2" t="n">
        <v>13.7</v>
      </c>
      <c r="G272" s="2" t="n">
        <v>13.9</v>
      </c>
      <c r="H272" s="8" t="inlineStr">
        <is>
          <t>Normale</t>
        </is>
      </c>
      <c r="I272" s="2">
        <f>MAX(1,TRUNC(L272*(Impostazioni!$B$2/500)*1*M272*INDEX(Impostazioni!$E$23:$E$29,MATCH(H272,Impostazioni!$D$23:$D$29,0))))</f>
        <v/>
      </c>
      <c r="J272" s="9">
        <f>MAX(1,TRUNC(L272*(Impostazioni!$B$2/500)*INDEX(Motore!$A$5:$H$8,MATCH(C272,Motore!$A$5:$A$8,0),8)*M272*INDEX(Impostazioni!$E$23:$E$29,MATCH(H272,Impostazioni!$D$23:$D$29,0))))</f>
        <v/>
      </c>
      <c r="K272" s="2" t="inlineStr">
        <is>
          <t>🌟 Nuovo Arrivo TOP</t>
        </is>
      </c>
      <c r="L272" s="2" t="n">
        <v>24.7</v>
      </c>
      <c r="M272" s="2" t="n">
        <v>1</v>
      </c>
    </row>
    <row r="273">
      <c r="A273" s="2" t="inlineStr">
        <is>
          <t>Vlasic</t>
        </is>
      </c>
      <c r="B273" s="2" t="inlineStr">
        <is>
          <t>Torino</t>
        </is>
      </c>
      <c r="C273" s="2" t="inlineStr">
        <is>
          <t>C</t>
        </is>
      </c>
      <c r="D273" s="2" t="inlineStr">
        <is>
          <t>T</t>
        </is>
      </c>
      <c r="E273" s="2" t="n">
        <v>13</v>
      </c>
      <c r="F273" s="2" t="n">
        <v>13.7</v>
      </c>
      <c r="G273" s="2" t="n">
        <v>38.6</v>
      </c>
      <c r="H273" s="8" t="inlineStr">
        <is>
          <t>🎯 Rigorista designato</t>
        </is>
      </c>
      <c r="I273" s="2">
        <f>MAX(1,TRUNC(L273*(Impostazioni!$B$2/500)*1*M273*INDEX(Impostazioni!$E$23:$E$29,MATCH(H273,Impostazioni!$D$23:$D$29,0))))</f>
        <v/>
      </c>
      <c r="J273" s="9">
        <f>MAX(1,TRUNC(L273*(Impostazioni!$B$2/500)*INDEX(Motore!$A$5:$H$8,MATCH(C273,Motore!$A$5:$A$8,0),8)*M273*INDEX(Impostazioni!$E$23:$E$29,MATCH(H273,Impostazioni!$D$23:$D$29,0))))</f>
        <v/>
      </c>
      <c r="K273" s="2" t="inlineStr">
        <is>
          <t>🌟 Nuovo Arrivo TOP</t>
        </is>
      </c>
      <c r="L273" s="2" t="n">
        <v>24.7</v>
      </c>
      <c r="M273" s="2" t="n">
        <v>1</v>
      </c>
    </row>
    <row r="274">
      <c r="A274" s="2" t="inlineStr">
        <is>
          <t>Ederson D.S.</t>
        </is>
      </c>
      <c r="B274" s="2" t="inlineStr">
        <is>
          <t>Atalanta</t>
        </is>
      </c>
      <c r="C274" s="2" t="inlineStr">
        <is>
          <t>C</t>
        </is>
      </c>
      <c r="D274" s="2" t="inlineStr">
        <is>
          <t>M/C</t>
        </is>
      </c>
      <c r="E274" s="2" t="n">
        <v>12</v>
      </c>
      <c r="F274" s="2" t="n">
        <v>27.2</v>
      </c>
      <c r="G274" s="2" t="n">
        <v>15.7</v>
      </c>
      <c r="H274" s="8" t="inlineStr">
        <is>
          <t>Normale</t>
        </is>
      </c>
      <c r="I274" s="2">
        <f>MAX(1,TRUNC(L274*(Impostazioni!$B$2/500)*1*M274*INDEX(Impostazioni!$E$23:$E$29,MATCH(H274,Impostazioni!$D$23:$D$29,0))))</f>
        <v/>
      </c>
      <c r="J274" s="9">
        <f>MAX(1,TRUNC(L274*(Impostazioni!$B$2/500)*INDEX(Motore!$A$5:$H$8,MATCH(C274,Motore!$A$5:$A$8,0),8)*M274*INDEX(Impostazioni!$E$23:$E$29,MATCH(H274,Impostazioni!$D$23:$D$29,0))))</f>
        <v/>
      </c>
      <c r="K274" s="2" t="inlineStr">
        <is>
          <t>🌟 Nuovo Arrivo TOP</t>
        </is>
      </c>
      <c r="L274" s="2" t="n">
        <v>22.8</v>
      </c>
      <c r="M274" s="2" t="n">
        <v>1</v>
      </c>
    </row>
    <row r="275">
      <c r="A275" s="2" t="inlineStr">
        <is>
          <t>Ekkelenkamp</t>
        </is>
      </c>
      <c r="B275" s="2" t="inlineStr">
        <is>
          <t>Udinese</t>
        </is>
      </c>
      <c r="C275" s="2" t="inlineStr">
        <is>
          <t>C</t>
        </is>
      </c>
      <c r="D275" s="2" t="inlineStr">
        <is>
          <t>C/T</t>
        </is>
      </c>
      <c r="E275" s="2" t="n">
        <v>12</v>
      </c>
      <c r="F275" s="2" t="n">
        <v>20.8</v>
      </c>
      <c r="G275" s="2" t="n">
        <v>18.35</v>
      </c>
      <c r="H275" s="8" t="inlineStr">
        <is>
          <t>Normale</t>
        </is>
      </c>
      <c r="I275" s="2">
        <f>MAX(1,TRUNC(L275*(Impostazioni!$B$2/500)*1*M275*INDEX(Impostazioni!$E$23:$E$29,MATCH(H275,Impostazioni!$D$23:$D$29,0))))</f>
        <v/>
      </c>
      <c r="J275" s="9">
        <f>MAX(1,TRUNC(L275*(Impostazioni!$B$2/500)*INDEX(Motore!$A$5:$H$8,MATCH(C275,Motore!$A$5:$A$8,0),8)*M275*INDEX(Impostazioni!$E$23:$E$29,MATCH(H275,Impostazioni!$D$23:$D$29,0))))</f>
        <v/>
      </c>
      <c r="K275" s="2" t="inlineStr">
        <is>
          <t>🌟 Nuovo Arrivo TOP</t>
        </is>
      </c>
      <c r="L275" s="2" t="n">
        <v>22.8</v>
      </c>
      <c r="M275" s="2" t="n">
        <v>1</v>
      </c>
    </row>
    <row r="276">
      <c r="A276" s="2" t="inlineStr">
        <is>
          <t>Goncalves P.</t>
        </is>
      </c>
      <c r="B276" s="2" t="inlineStr">
        <is>
          <t>Fiorentina</t>
        </is>
      </c>
      <c r="C276" s="2" t="inlineStr">
        <is>
          <t>C</t>
        </is>
      </c>
      <c r="D276" s="2" t="inlineStr">
        <is>
          <t>W/T</t>
        </is>
      </c>
      <c r="E276" s="2" t="n">
        <v>12</v>
      </c>
      <c r="F276" s="2" t="n">
        <v>20.1</v>
      </c>
      <c r="G276" s="2" t="n">
        <v>19.15</v>
      </c>
      <c r="H276" s="8" t="inlineStr">
        <is>
          <t>Normale</t>
        </is>
      </c>
      <c r="I276" s="2">
        <f>MAX(1,TRUNC(L276*(Impostazioni!$B$2/500)*1*M276*INDEX(Impostazioni!$E$23:$E$29,MATCH(H276,Impostazioni!$D$23:$D$29,0))))</f>
        <v/>
      </c>
      <c r="J276" s="9">
        <f>MAX(1,TRUNC(L276*(Impostazioni!$B$2/500)*INDEX(Motore!$A$5:$H$8,MATCH(C276,Motore!$A$5:$A$8,0),8)*M276*INDEX(Impostazioni!$E$23:$E$29,MATCH(H276,Impostazioni!$D$23:$D$29,0))))</f>
        <v/>
      </c>
      <c r="K276" s="2" t="inlineStr">
        <is>
          <t>🌟 Nuovo Arrivo TOP</t>
        </is>
      </c>
      <c r="L276" s="2" t="n">
        <v>22.8</v>
      </c>
      <c r="M276" s="2" t="n">
        <v>1</v>
      </c>
    </row>
    <row r="277">
      <c r="A277" s="2" t="inlineStr">
        <is>
          <t>Gonzalez N.</t>
        </is>
      </c>
      <c r="B277" s="2" t="inlineStr">
        <is>
          <t>Juventus</t>
        </is>
      </c>
      <c r="C277" s="2" t="inlineStr">
        <is>
          <t>C</t>
        </is>
      </c>
      <c r="D277" s="2" t="inlineStr">
        <is>
          <t>W/A</t>
        </is>
      </c>
      <c r="E277" s="2" t="n">
        <v>12</v>
      </c>
      <c r="F277" s="2" t="n">
        <v>10</v>
      </c>
      <c r="G277" s="2" t="n">
        <v>8.15</v>
      </c>
      <c r="H277" s="8" t="inlineStr">
        <is>
          <t>Normale</t>
        </is>
      </c>
      <c r="I277" s="2">
        <f>MAX(1,TRUNC(L277*(Impostazioni!$B$2/500)*1*M277*INDEX(Impostazioni!$E$23:$E$29,MATCH(H277,Impostazioni!$D$23:$D$29,0))))</f>
        <v/>
      </c>
      <c r="J277" s="9">
        <f>MAX(1,TRUNC(L277*(Impostazioni!$B$2/500)*INDEX(Motore!$A$5:$H$8,MATCH(C277,Motore!$A$5:$A$8,0),8)*M277*INDEX(Impostazioni!$E$23:$E$29,MATCH(H277,Impostazioni!$D$23:$D$29,0))))</f>
        <v/>
      </c>
      <c r="K277" s="2" t="inlineStr">
        <is>
          <t>🌟 Nuovo Arrivo TOP</t>
        </is>
      </c>
      <c r="L277" s="2" t="n">
        <v>22.8</v>
      </c>
      <c r="M277" s="2" t="n">
        <v>1</v>
      </c>
    </row>
    <row r="278">
      <c r="A278" s="2" t="inlineStr">
        <is>
          <t>Gudmundsson A.</t>
        </is>
      </c>
      <c r="B278" s="2" t="inlineStr">
        <is>
          <t>Lazio</t>
        </is>
      </c>
      <c r="C278" s="2" t="inlineStr">
        <is>
          <t>C</t>
        </is>
      </c>
      <c r="D278" s="2" t="inlineStr">
        <is>
          <t>T/A</t>
        </is>
      </c>
      <c r="E278" s="2" t="n">
        <v>12</v>
      </c>
      <c r="F278" s="2" t="n">
        <v>13.2</v>
      </c>
      <c r="G278" s="2" t="n">
        <v>26</v>
      </c>
      <c r="H278" s="8" t="inlineStr">
        <is>
          <t>🟡 Ballottaggio</t>
        </is>
      </c>
      <c r="I278" s="2">
        <f>MAX(1,TRUNC(L278*(Impostazioni!$B$2/500)*1*M278*INDEX(Impostazioni!$E$23:$E$29,MATCH(H278,Impostazioni!$D$23:$D$29,0))))</f>
        <v/>
      </c>
      <c r="J278" s="9">
        <f>MAX(1,TRUNC(L278*(Impostazioni!$B$2/500)*INDEX(Motore!$A$5:$H$8,MATCH(C278,Motore!$A$5:$A$8,0),8)*M278*INDEX(Impostazioni!$E$23:$E$29,MATCH(H278,Impostazioni!$D$23:$D$29,0))))</f>
        <v/>
      </c>
      <c r="K278" s="2" t="inlineStr">
        <is>
          <t>🌟 Nuovo Arrivo TOP</t>
        </is>
      </c>
      <c r="L278" s="2" t="n">
        <v>22.8</v>
      </c>
      <c r="M278" s="2" t="n">
        <v>1</v>
      </c>
    </row>
    <row r="279">
      <c r="A279" s="2" t="inlineStr">
        <is>
          <t>Jones C.</t>
        </is>
      </c>
      <c r="B279" s="2" t="inlineStr">
        <is>
          <t>Inter</t>
        </is>
      </c>
      <c r="C279" s="2" t="inlineStr">
        <is>
          <t>C</t>
        </is>
      </c>
      <c r="D279" s="2" t="inlineStr">
        <is>
          <t>C</t>
        </is>
      </c>
      <c r="E279" s="2" t="n">
        <v>12</v>
      </c>
      <c r="F279" s="2" t="n">
        <v>11.15</v>
      </c>
      <c r="G279" s="2" t="n">
        <v>19.55</v>
      </c>
      <c r="H279" s="8" t="inlineStr">
        <is>
          <t>🟡 Ballottaggio</t>
        </is>
      </c>
      <c r="I279" s="2">
        <f>MAX(1,TRUNC(L279*(Impostazioni!$B$2/500)*1*M279*INDEX(Impostazioni!$E$23:$E$29,MATCH(H279,Impostazioni!$D$23:$D$29,0))))</f>
        <v/>
      </c>
      <c r="J279" s="9">
        <f>MAX(1,TRUNC(L279*(Impostazioni!$B$2/500)*INDEX(Motore!$A$5:$H$8,MATCH(C279,Motore!$A$5:$A$8,0),8)*M279*INDEX(Impostazioni!$E$23:$E$29,MATCH(H279,Impostazioni!$D$23:$D$29,0))))</f>
        <v/>
      </c>
      <c r="K279" s="2" t="inlineStr">
        <is>
          <t>🌟 Nuovo Arrivo TOP</t>
        </is>
      </c>
      <c r="L279" s="2" t="n">
        <v>22.8</v>
      </c>
      <c r="M279" s="2" t="n">
        <v>1</v>
      </c>
    </row>
    <row r="280">
      <c r="A280" s="2" t="inlineStr">
        <is>
          <t>Kessiè</t>
        </is>
      </c>
      <c r="B280" s="2" t="inlineStr">
        <is>
          <t>Atalanta</t>
        </is>
      </c>
      <c r="C280" s="2" t="inlineStr">
        <is>
          <t>C</t>
        </is>
      </c>
      <c r="D280" s="2" t="inlineStr">
        <is>
          <t>C</t>
        </is>
      </c>
      <c r="E280" s="2" t="n">
        <v>12</v>
      </c>
      <c r="F280" s="2" t="n">
        <v>13.2</v>
      </c>
      <c r="G280" s="2" t="n">
        <v>16.1</v>
      </c>
      <c r="H280" s="8" t="inlineStr">
        <is>
          <t>🎯🟡 Rigorista in Ballottaggio</t>
        </is>
      </c>
      <c r="I280" s="2">
        <f>MAX(1,TRUNC(L280*(Impostazioni!$B$2/500)*1*M280*INDEX(Impostazioni!$E$23:$E$29,MATCH(H280,Impostazioni!$D$23:$D$29,0))))</f>
        <v/>
      </c>
      <c r="J280" s="9">
        <f>MAX(1,TRUNC(L280*(Impostazioni!$B$2/500)*INDEX(Motore!$A$5:$H$8,MATCH(C280,Motore!$A$5:$A$8,0),8)*M280*INDEX(Impostazioni!$E$23:$E$29,MATCH(H280,Impostazioni!$D$23:$D$29,0))))</f>
        <v/>
      </c>
      <c r="K280" s="2" t="inlineStr">
        <is>
          <t>🌟 Nuovo Arrivo TOP</t>
        </is>
      </c>
      <c r="L280" s="2" t="n">
        <v>22.8</v>
      </c>
      <c r="M280" s="2" t="n">
        <v>1</v>
      </c>
    </row>
    <row r="281">
      <c r="A281" s="2" t="inlineStr">
        <is>
          <t>Modric</t>
        </is>
      </c>
      <c r="B281" s="2" t="inlineStr">
        <is>
          <t>Milan</t>
        </is>
      </c>
      <c r="C281" s="2" t="inlineStr">
        <is>
          <t>C</t>
        </is>
      </c>
      <c r="D281" s="2" t="inlineStr">
        <is>
          <t>M/C</t>
        </is>
      </c>
      <c r="E281" s="2" t="n">
        <v>12</v>
      </c>
      <c r="F281" s="2" t="n">
        <v>15.3</v>
      </c>
      <c r="G281" s="2" t="n">
        <v>2.75</v>
      </c>
      <c r="H281" s="8" t="inlineStr">
        <is>
          <t>Normale</t>
        </is>
      </c>
      <c r="I281" s="2">
        <f>MAX(1,TRUNC(L281*(Impostazioni!$B$2/500)*1*M281*INDEX(Impostazioni!$E$23:$E$29,MATCH(H281,Impostazioni!$D$23:$D$29,0))))</f>
        <v/>
      </c>
      <c r="J281" s="9">
        <f>MAX(1,TRUNC(L281*(Impostazioni!$B$2/500)*INDEX(Motore!$A$5:$H$8,MATCH(C281,Motore!$A$5:$A$8,0),8)*M281*INDEX(Impostazioni!$E$23:$E$29,MATCH(H281,Impostazioni!$D$23:$D$29,0))))</f>
        <v/>
      </c>
      <c r="K281" s="2" t="inlineStr">
        <is>
          <t>🌟 Nuovo Arrivo TOP</t>
        </is>
      </c>
      <c r="L281" s="2" t="n">
        <v>22.8</v>
      </c>
      <c r="M281" s="2" t="n">
        <v>1</v>
      </c>
    </row>
    <row r="282">
      <c r="A282" s="2" t="inlineStr">
        <is>
          <t>Zielinski</t>
        </is>
      </c>
      <c r="B282" s="2" t="inlineStr">
        <is>
          <t>Inter</t>
        </is>
      </c>
      <c r="C282" s="2" t="inlineStr">
        <is>
          <t>C</t>
        </is>
      </c>
      <c r="D282" s="2" t="inlineStr">
        <is>
          <t>C</t>
        </is>
      </c>
      <c r="E282" s="2" t="n">
        <v>12</v>
      </c>
      <c r="F282" s="2" t="n">
        <v>18.75</v>
      </c>
      <c r="G282" s="2" t="n">
        <v>31.45</v>
      </c>
      <c r="H282" s="8" t="inlineStr">
        <is>
          <t>🟡 Ballottaggio</t>
        </is>
      </c>
      <c r="I282" s="2">
        <f>MAX(1,TRUNC(L282*(Impostazioni!$B$2/500)*1*M282*INDEX(Impostazioni!$E$23:$E$29,MATCH(H282,Impostazioni!$D$23:$D$29,0))))</f>
        <v/>
      </c>
      <c r="J282" s="9">
        <f>MAX(1,TRUNC(L282*(Impostazioni!$B$2/500)*INDEX(Motore!$A$5:$H$8,MATCH(C282,Motore!$A$5:$A$8,0),8)*M282*INDEX(Impostazioni!$E$23:$E$29,MATCH(H282,Impostazioni!$D$23:$D$29,0))))</f>
        <v/>
      </c>
      <c r="K282" s="2" t="inlineStr">
        <is>
          <t>🌟 Nuovo Arrivo TOP</t>
        </is>
      </c>
      <c r="L282" s="2" t="n">
        <v>22.8</v>
      </c>
      <c r="M282" s="2" t="n">
        <v>1</v>
      </c>
    </row>
    <row r="283">
      <c r="A283" s="2" t="inlineStr">
        <is>
          <t>Alajbegovic</t>
        </is>
      </c>
      <c r="B283" s="2" t="inlineStr">
        <is>
          <t>Juventus</t>
        </is>
      </c>
      <c r="C283" s="2" t="inlineStr">
        <is>
          <t>C</t>
        </is>
      </c>
      <c r="D283" s="2" t="inlineStr">
        <is>
          <t>W/T</t>
        </is>
      </c>
      <c r="E283" s="2" t="n">
        <v>11</v>
      </c>
      <c r="F283" s="2" t="n">
        <v>13.95</v>
      </c>
      <c r="G283" s="2" t="n">
        <v>34.35</v>
      </c>
      <c r="H283" s="8" t="inlineStr">
        <is>
          <t>🟡 Ballottaggio</t>
        </is>
      </c>
      <c r="I283" s="2">
        <f>MAX(1,TRUNC(L283*(Impostazioni!$B$2/500)*1*M283*INDEX(Impostazioni!$E$23:$E$29,MATCH(H283,Impostazioni!$D$23:$D$29,0))))</f>
        <v/>
      </c>
      <c r="J283" s="9">
        <f>MAX(1,TRUNC(L283*(Impostazioni!$B$2/500)*INDEX(Motore!$A$5:$H$8,MATCH(C283,Motore!$A$5:$A$8,0),8)*M283*INDEX(Impostazioni!$E$23:$E$29,MATCH(H283,Impostazioni!$D$23:$D$29,0))))</f>
        <v/>
      </c>
      <c r="K283" s="2" t="inlineStr">
        <is>
          <t>🌟 Nuovo Arrivo TOP</t>
        </is>
      </c>
      <c r="L283" s="2" t="n">
        <v>20.9</v>
      </c>
      <c r="M283" s="2" t="n">
        <v>1</v>
      </c>
    </row>
    <row r="284">
      <c r="A284" s="2" t="inlineStr">
        <is>
          <t>Baldanzi</t>
        </is>
      </c>
      <c r="B284" s="2" t="inlineStr">
        <is>
          <t>Genoa</t>
        </is>
      </c>
      <c r="C284" s="2" t="inlineStr">
        <is>
          <t>C</t>
        </is>
      </c>
      <c r="D284" s="2" t="inlineStr">
        <is>
          <t>T</t>
        </is>
      </c>
      <c r="E284" s="2" t="n">
        <v>11</v>
      </c>
      <c r="F284" s="2" t="n">
        <v>2.95</v>
      </c>
      <c r="G284" s="2" t="n">
        <v>2.65</v>
      </c>
      <c r="H284" s="8" t="inlineStr">
        <is>
          <t>Normale</t>
        </is>
      </c>
      <c r="I284" s="2">
        <f>MAX(1,TRUNC(L284*(Impostazioni!$B$2/500)*1*M284*INDEX(Impostazioni!$E$23:$E$29,MATCH(H284,Impostazioni!$D$23:$D$29,0))))</f>
        <v/>
      </c>
      <c r="J284" s="9">
        <f>MAX(1,TRUNC(L284*(Impostazioni!$B$2/500)*INDEX(Motore!$A$5:$H$8,MATCH(C284,Motore!$A$5:$A$8,0),8)*M284*INDEX(Impostazioni!$E$23:$E$29,MATCH(H284,Impostazioni!$D$23:$D$29,0))))</f>
        <v/>
      </c>
      <c r="K284" s="2" t="inlineStr">
        <is>
          <t>🌟 Nuovo Arrivo TOP</t>
        </is>
      </c>
      <c r="L284" s="2" t="n">
        <v>20.9</v>
      </c>
      <c r="M284" s="2" t="n">
        <v>1</v>
      </c>
    </row>
    <row r="285">
      <c r="A285" s="2" t="inlineStr">
        <is>
          <t>Mastantuono</t>
        </is>
      </c>
      <c r="B285" s="2" t="inlineStr">
        <is>
          <t>Fiorentina</t>
        </is>
      </c>
      <c r="C285" s="2" t="inlineStr">
        <is>
          <t>C</t>
        </is>
      </c>
      <c r="D285" s="2" t="inlineStr">
        <is>
          <t>W/T</t>
        </is>
      </c>
      <c r="E285" s="2" t="n">
        <v>11</v>
      </c>
      <c r="F285" s="2" t="n">
        <v>28.35</v>
      </c>
      <c r="G285" s="2" t="n">
        <v>36.3</v>
      </c>
      <c r="H285" s="8" t="inlineStr">
        <is>
          <t>🎯 Rigorista designato</t>
        </is>
      </c>
      <c r="I285" s="2">
        <f>MAX(1,TRUNC(L285*(Impostazioni!$B$2/500)*1*M285*INDEX(Impostazioni!$E$23:$E$29,MATCH(H285,Impostazioni!$D$23:$D$29,0))))</f>
        <v/>
      </c>
      <c r="J285" s="9">
        <f>MAX(1,TRUNC(L285*(Impostazioni!$B$2/500)*INDEX(Motore!$A$5:$H$8,MATCH(C285,Motore!$A$5:$A$8,0),8)*M285*INDEX(Impostazioni!$E$23:$E$29,MATCH(H285,Impostazioni!$D$23:$D$29,0))))</f>
        <v/>
      </c>
      <c r="K285" s="2" t="inlineStr">
        <is>
          <t>🌟 Nuovo Arrivo TOP</t>
        </is>
      </c>
      <c r="L285" s="2" t="n">
        <v>20.9</v>
      </c>
      <c r="M285" s="2" t="n">
        <v>1</v>
      </c>
    </row>
    <row r="286">
      <c r="A286" s="2" t="inlineStr">
        <is>
          <t>Moreira</t>
        </is>
      </c>
      <c r="B286" s="2" t="inlineStr">
        <is>
          <t>Milan</t>
        </is>
      </c>
      <c r="C286" s="2" t="inlineStr">
        <is>
          <t>C</t>
        </is>
      </c>
      <c r="D286" s="2" t="inlineStr">
        <is>
          <t>E/W</t>
        </is>
      </c>
      <c r="E286" s="2" t="n">
        <v>11</v>
      </c>
      <c r="F286" s="2" t="n">
        <v>15.75</v>
      </c>
      <c r="G286" s="2" t="n">
        <v>19.65</v>
      </c>
      <c r="H286" s="8" t="inlineStr">
        <is>
          <t>🟡 Ballottaggio</t>
        </is>
      </c>
      <c r="I286" s="2">
        <f>MAX(1,TRUNC(L286*(Impostazioni!$B$2/500)*1*M286*INDEX(Impostazioni!$E$23:$E$29,MATCH(H286,Impostazioni!$D$23:$D$29,0))))</f>
        <v/>
      </c>
      <c r="J286" s="9">
        <f>MAX(1,TRUNC(L286*(Impostazioni!$B$2/500)*INDEX(Motore!$A$5:$H$8,MATCH(C286,Motore!$A$5:$A$8,0),8)*M286*INDEX(Impostazioni!$E$23:$E$29,MATCH(H286,Impostazioni!$D$23:$D$29,0))))</f>
        <v/>
      </c>
      <c r="K286" s="2" t="inlineStr">
        <is>
          <t>🌟 Nuovo Arrivo TOP</t>
        </is>
      </c>
      <c r="L286" s="2" t="n">
        <v>20.9</v>
      </c>
      <c r="M286" s="2" t="n">
        <v>1</v>
      </c>
    </row>
    <row r="287">
      <c r="A287" s="2" t="inlineStr">
        <is>
          <t>Rodriguez Je.</t>
        </is>
      </c>
      <c r="B287" s="2" t="inlineStr">
        <is>
          <t>Como</t>
        </is>
      </c>
      <c r="C287" s="2" t="inlineStr">
        <is>
          <t>C</t>
        </is>
      </c>
      <c r="D287" s="2" t="inlineStr">
        <is>
          <t>W/A</t>
        </is>
      </c>
      <c r="E287" s="2" t="n">
        <v>11</v>
      </c>
      <c r="F287" s="2" t="n">
        <v>4</v>
      </c>
      <c r="G287" s="2" t="n">
        <v>2.5</v>
      </c>
      <c r="H287" s="8" t="inlineStr">
        <is>
          <t>Normale</t>
        </is>
      </c>
      <c r="I287" s="2">
        <f>MAX(1,TRUNC(L287*(Impostazioni!$B$2/500)*1*M287*INDEX(Impostazioni!$E$23:$E$29,MATCH(H287,Impostazioni!$D$23:$D$29,0))))</f>
        <v/>
      </c>
      <c r="J287" s="9">
        <f>MAX(1,TRUNC(L287*(Impostazioni!$B$2/500)*INDEX(Motore!$A$5:$H$8,MATCH(C287,Motore!$A$5:$A$8,0),8)*M287*INDEX(Impostazioni!$E$23:$E$29,MATCH(H287,Impostazioni!$D$23:$D$29,0))))</f>
        <v/>
      </c>
      <c r="K287" s="2" t="inlineStr">
        <is>
          <t>🌟 Nuovo Arrivo TOP</t>
        </is>
      </c>
      <c r="L287" s="2" t="n">
        <v>20.9</v>
      </c>
      <c r="M287" s="2" t="n">
        <v>1</v>
      </c>
    </row>
    <row r="288">
      <c r="A288" s="2" t="inlineStr">
        <is>
          <t>Saelemaekers</t>
        </is>
      </c>
      <c r="B288" s="2" t="inlineStr">
        <is>
          <t>Milan</t>
        </is>
      </c>
      <c r="C288" s="2" t="inlineStr">
        <is>
          <t>C</t>
        </is>
      </c>
      <c r="D288" s="2" t="inlineStr">
        <is>
          <t>E/W</t>
        </is>
      </c>
      <c r="E288" s="2" t="n">
        <v>11</v>
      </c>
      <c r="F288" s="2" t="n">
        <v>12.35</v>
      </c>
      <c r="G288" s="2" t="n">
        <v>4.5</v>
      </c>
      <c r="H288" s="8" t="inlineStr">
        <is>
          <t>Normale</t>
        </is>
      </c>
      <c r="I288" s="2">
        <f>MAX(1,TRUNC(L288*(Impostazioni!$B$2/500)*1*M288*INDEX(Impostazioni!$E$23:$E$29,MATCH(H288,Impostazioni!$D$23:$D$29,0))))</f>
        <v/>
      </c>
      <c r="J288" s="9">
        <f>MAX(1,TRUNC(L288*(Impostazioni!$B$2/500)*INDEX(Motore!$A$5:$H$8,MATCH(C288,Motore!$A$5:$A$8,0),8)*M288*INDEX(Impostazioni!$E$23:$E$29,MATCH(H288,Impostazioni!$D$23:$D$29,0))))</f>
        <v/>
      </c>
      <c r="K288" s="2" t="inlineStr">
        <is>
          <t>🌟 Nuovo Arrivo TOP</t>
        </is>
      </c>
      <c r="L288" s="2" t="n">
        <v>20.9</v>
      </c>
      <c r="M288" s="2" t="n">
        <v>1</v>
      </c>
    </row>
    <row r="289">
      <c r="A289" s="2" t="inlineStr">
        <is>
          <t>Bernardeschi</t>
        </is>
      </c>
      <c r="B289" s="2" t="inlineStr">
        <is>
          <t>Bologna</t>
        </is>
      </c>
      <c r="C289" s="2" t="inlineStr">
        <is>
          <t>C</t>
        </is>
      </c>
      <c r="D289" s="2" t="inlineStr">
        <is>
          <t>W/T</t>
        </is>
      </c>
      <c r="E289" s="2" t="n">
        <v>10</v>
      </c>
      <c r="F289" s="2" t="n">
        <v>8.25</v>
      </c>
      <c r="G289" s="2" t="n">
        <v>9</v>
      </c>
      <c r="H289" s="8" t="inlineStr">
        <is>
          <t>🟡 Ballottaggio</t>
        </is>
      </c>
      <c r="I289" s="2">
        <f>MAX(1,TRUNC(L289*(Impostazioni!$B$2/500)*1*M289*INDEX(Impostazioni!$E$23:$E$29,MATCH(H289,Impostazioni!$D$23:$D$29,0))))</f>
        <v/>
      </c>
      <c r="J289" s="9">
        <f>MAX(1,TRUNC(L289*(Impostazioni!$B$2/500)*INDEX(Motore!$A$5:$H$8,MATCH(C289,Motore!$A$5:$A$8,0),8)*M289*INDEX(Impostazioni!$E$23:$E$29,MATCH(H289,Impostazioni!$D$23:$D$29,0))))</f>
        <v/>
      </c>
      <c r="K289" s="2" t="inlineStr">
        <is>
          <t>🌟 Nuovo Arrivo TOP</t>
        </is>
      </c>
      <c r="L289" s="2" t="n">
        <v>19</v>
      </c>
      <c r="M289" s="2" t="n">
        <v>1</v>
      </c>
    </row>
    <row r="290">
      <c r="A290" s="2" t="inlineStr">
        <is>
          <t>Frattesi</t>
        </is>
      </c>
      <c r="B290" s="2" t="inlineStr">
        <is>
          <t>Lazio</t>
        </is>
      </c>
      <c r="C290" s="2" t="inlineStr">
        <is>
          <t>C</t>
        </is>
      </c>
      <c r="D290" s="2" t="inlineStr">
        <is>
          <t>C/T</t>
        </is>
      </c>
      <c r="E290" s="2" t="n">
        <v>10</v>
      </c>
      <c r="F290" s="2" t="n">
        <v>36.8</v>
      </c>
      <c r="G290" s="2" t="n">
        <v>19.35</v>
      </c>
      <c r="H290" s="8" t="inlineStr">
        <is>
          <t>Normale</t>
        </is>
      </c>
      <c r="I290" s="2">
        <f>MAX(1,TRUNC(L290*(Impostazioni!$B$2/500)*1*M290*INDEX(Impostazioni!$E$23:$E$29,MATCH(H290,Impostazioni!$D$23:$D$29,0))))</f>
        <v/>
      </c>
      <c r="J290" s="9">
        <f>MAX(1,TRUNC(L290*(Impostazioni!$B$2/500)*INDEX(Motore!$A$5:$H$8,MATCH(C290,Motore!$A$5:$A$8,0),8)*M290*INDEX(Impostazioni!$E$23:$E$29,MATCH(H290,Impostazioni!$D$23:$D$29,0))))</f>
        <v/>
      </c>
      <c r="K290" s="2" t="inlineStr">
        <is>
          <t>🌟 Nuovo Arrivo TOP</t>
        </is>
      </c>
      <c r="L290" s="2" t="n">
        <v>19</v>
      </c>
      <c r="M290" s="2" t="n">
        <v>1</v>
      </c>
    </row>
    <row r="291">
      <c r="A291" s="2" t="inlineStr">
        <is>
          <t>Konè M.</t>
        </is>
      </c>
      <c r="B291" s="2" t="inlineStr">
        <is>
          <t>Roma</t>
        </is>
      </c>
      <c r="C291" s="2" t="inlineStr">
        <is>
          <t>C</t>
        </is>
      </c>
      <c r="D291" s="2" t="inlineStr">
        <is>
          <t>M/C</t>
        </is>
      </c>
      <c r="E291" s="2" t="n">
        <v>10</v>
      </c>
      <c r="F291" s="2" t="n">
        <v>27.2</v>
      </c>
      <c r="G291" s="2" t="n">
        <v>15.6</v>
      </c>
      <c r="H291" s="8" t="inlineStr">
        <is>
          <t>Normale</t>
        </is>
      </c>
      <c r="I291" s="2">
        <f>MAX(1,TRUNC(L291*(Impostazioni!$B$2/500)*1*M291*INDEX(Impostazioni!$E$23:$E$29,MATCH(H291,Impostazioni!$D$23:$D$29,0))))</f>
        <v/>
      </c>
      <c r="J291" s="9">
        <f>MAX(1,TRUNC(L291*(Impostazioni!$B$2/500)*INDEX(Motore!$A$5:$H$8,MATCH(C291,Motore!$A$5:$A$8,0),8)*M291*INDEX(Impostazioni!$E$23:$E$29,MATCH(H291,Impostazioni!$D$23:$D$29,0))))</f>
        <v/>
      </c>
      <c r="K291" s="2" t="inlineStr">
        <is>
          <t>🌟 Nuovo Arrivo TOP</t>
        </is>
      </c>
      <c r="L291" s="2" t="n">
        <v>19</v>
      </c>
      <c r="M291" s="2" t="n">
        <v>1</v>
      </c>
    </row>
    <row r="292">
      <c r="A292" s="2" t="inlineStr">
        <is>
          <t>Perrone</t>
        </is>
      </c>
      <c r="B292" s="2" t="inlineStr">
        <is>
          <t>Como</t>
        </is>
      </c>
      <c r="C292" s="2" t="inlineStr">
        <is>
          <t>C</t>
        </is>
      </c>
      <c r="D292" s="2" t="inlineStr">
        <is>
          <t>M/C</t>
        </is>
      </c>
      <c r="E292" s="2" t="n">
        <v>10</v>
      </c>
      <c r="F292" s="2" t="n">
        <v>8.949999999999999</v>
      </c>
      <c r="G292" s="2" t="n">
        <v>0.5</v>
      </c>
      <c r="H292" s="8" t="inlineStr">
        <is>
          <t>🟡 Ballottaggio</t>
        </is>
      </c>
      <c r="I292" s="2">
        <f>MAX(1,TRUNC(L292*(Impostazioni!$B$2/500)*1*M292*INDEX(Impostazioni!$E$23:$E$29,MATCH(H292,Impostazioni!$D$23:$D$29,0))))</f>
        <v/>
      </c>
      <c r="J292" s="9">
        <f>MAX(1,TRUNC(L292*(Impostazioni!$B$2/500)*INDEX(Motore!$A$5:$H$8,MATCH(C292,Motore!$A$5:$A$8,0),8)*M292*INDEX(Impostazioni!$E$23:$E$29,MATCH(H292,Impostazioni!$D$23:$D$29,0))))</f>
        <v/>
      </c>
      <c r="K292" s="2" t="inlineStr">
        <is>
          <t>🌟 Nuovo Arrivo TOP</t>
        </is>
      </c>
      <c r="L292" s="2" t="n">
        <v>19</v>
      </c>
      <c r="M292" s="2" t="n">
        <v>1</v>
      </c>
    </row>
    <row r="293">
      <c r="A293" s="2" t="inlineStr">
        <is>
          <t>Rowe</t>
        </is>
      </c>
      <c r="B293" s="2" t="inlineStr">
        <is>
          <t>Atalanta</t>
        </is>
      </c>
      <c r="C293" s="2" t="inlineStr">
        <is>
          <t>C</t>
        </is>
      </c>
      <c r="D293" s="2" t="inlineStr">
        <is>
          <t>W/T</t>
        </is>
      </c>
      <c r="E293" s="2" t="n">
        <v>10</v>
      </c>
      <c r="F293" s="2" t="n">
        <v>21.95</v>
      </c>
      <c r="G293" s="2" t="n">
        <v>28.3</v>
      </c>
      <c r="H293" s="8" t="inlineStr">
        <is>
          <t>🟡 Ballottaggio</t>
        </is>
      </c>
      <c r="I293" s="2">
        <f>MAX(1,TRUNC(L293*(Impostazioni!$B$2/500)*1*M293*INDEX(Impostazioni!$E$23:$E$29,MATCH(H293,Impostazioni!$D$23:$D$29,0))))</f>
        <v/>
      </c>
      <c r="J293" s="9">
        <f>MAX(1,TRUNC(L293*(Impostazioni!$B$2/500)*INDEX(Motore!$A$5:$H$8,MATCH(C293,Motore!$A$5:$A$8,0),8)*M293*INDEX(Impostazioni!$E$23:$E$29,MATCH(H293,Impostazioni!$D$23:$D$29,0))))</f>
        <v/>
      </c>
      <c r="K293" s="2" t="inlineStr">
        <is>
          <t>🌟 Nuovo Arrivo TOP</t>
        </is>
      </c>
      <c r="L293" s="2" t="n">
        <v>19</v>
      </c>
      <c r="M293" s="2" t="n">
        <v>1</v>
      </c>
    </row>
    <row r="294">
      <c r="A294" s="2" t="inlineStr">
        <is>
          <t>Thorstvedt</t>
        </is>
      </c>
      <c r="B294" s="2" t="inlineStr">
        <is>
          <t>Sassuolo</t>
        </is>
      </c>
      <c r="C294" s="2" t="inlineStr">
        <is>
          <t>C</t>
        </is>
      </c>
      <c r="D294" s="2" t="inlineStr">
        <is>
          <t>C/T</t>
        </is>
      </c>
      <c r="E294" s="2" t="n">
        <v>10</v>
      </c>
      <c r="F294" s="2" t="n">
        <v>3.6</v>
      </c>
      <c r="G294" s="2" t="n">
        <v>0.5</v>
      </c>
      <c r="H294" s="8" t="inlineStr">
        <is>
          <t>🪑 Riserva Fissa (da fasciaFc)</t>
        </is>
      </c>
      <c r="I294" s="2">
        <f>MAX(1,TRUNC(L294*(Impostazioni!$B$2/500)*1*M294*INDEX(Impostazioni!$E$23:$E$29,MATCH(H294,Impostazioni!$D$23:$D$29,0))))</f>
        <v/>
      </c>
      <c r="J294" s="9">
        <f>MAX(1,TRUNC(L294*(Impostazioni!$B$2/500)*INDEX(Motore!$A$5:$H$8,MATCH(C294,Motore!$A$5:$A$8,0),8)*M294*INDEX(Impostazioni!$E$23:$E$29,MATCH(H294,Impostazioni!$D$23:$D$29,0))))</f>
        <v/>
      </c>
      <c r="K294" s="2" t="inlineStr">
        <is>
          <t>🌟 Nuovo Arrivo TOP</t>
        </is>
      </c>
      <c r="L294" s="2" t="n">
        <v>19</v>
      </c>
      <c r="M294" s="2" t="n">
        <v>1</v>
      </c>
    </row>
    <row r="295">
      <c r="A295" s="2" t="inlineStr">
        <is>
          <t>Vergara</t>
        </is>
      </c>
      <c r="B295" s="2" t="inlineStr">
        <is>
          <t>Napoli</t>
        </is>
      </c>
      <c r="C295" s="2" t="inlineStr">
        <is>
          <t>C</t>
        </is>
      </c>
      <c r="D295" s="2" t="inlineStr">
        <is>
          <t>W/T</t>
        </is>
      </c>
      <c r="E295" s="2" t="n">
        <v>10</v>
      </c>
      <c r="F295" s="2" t="n">
        <v>6.15</v>
      </c>
      <c r="G295" s="2" t="n">
        <v>0.5</v>
      </c>
      <c r="H295" s="8" t="inlineStr">
        <is>
          <t>Normale</t>
        </is>
      </c>
      <c r="I295" s="2">
        <f>MAX(1,TRUNC(L295*(Impostazioni!$B$2/500)*1*M295*INDEX(Impostazioni!$E$23:$E$29,MATCH(H295,Impostazioni!$D$23:$D$29,0))))</f>
        <v/>
      </c>
      <c r="J295" s="9">
        <f>MAX(1,TRUNC(L295*(Impostazioni!$B$2/500)*INDEX(Motore!$A$5:$H$8,MATCH(C295,Motore!$A$5:$A$8,0),8)*M295*INDEX(Impostazioni!$E$23:$E$29,MATCH(H295,Impostazioni!$D$23:$D$29,0))))</f>
        <v/>
      </c>
      <c r="K295" s="2" t="inlineStr">
        <is>
          <t>🌟 Nuovo Arrivo TOP</t>
        </is>
      </c>
      <c r="L295" s="2" t="n">
        <v>19</v>
      </c>
      <c r="M295" s="2" t="n">
        <v>1</v>
      </c>
    </row>
    <row r="296">
      <c r="A296" s="2" t="inlineStr">
        <is>
          <t>Zambo Anguissa</t>
        </is>
      </c>
      <c r="B296" s="2" t="inlineStr">
        <is>
          <t>Napoli</t>
        </is>
      </c>
      <c r="C296" s="2" t="inlineStr">
        <is>
          <t>C</t>
        </is>
      </c>
      <c r="D296" s="2" t="inlineStr">
        <is>
          <t>C</t>
        </is>
      </c>
      <c r="E296" s="2" t="n">
        <v>10</v>
      </c>
      <c r="F296" s="2" t="n">
        <v>8.550000000000001</v>
      </c>
      <c r="G296" s="2" t="n">
        <v>12.95</v>
      </c>
      <c r="H296" s="8" t="inlineStr">
        <is>
          <t>🟡 Ballottaggio</t>
        </is>
      </c>
      <c r="I296" s="2">
        <f>MAX(1,TRUNC(L296*(Impostazioni!$B$2/500)*1*M296*INDEX(Impostazioni!$E$23:$E$29,MATCH(H296,Impostazioni!$D$23:$D$29,0))))</f>
        <v/>
      </c>
      <c r="J296" s="9">
        <f>MAX(1,TRUNC(L296*(Impostazioni!$B$2/500)*INDEX(Motore!$A$5:$H$8,MATCH(C296,Motore!$A$5:$A$8,0),8)*M296*INDEX(Impostazioni!$E$23:$E$29,MATCH(H296,Impostazioni!$D$23:$D$29,0))))</f>
        <v/>
      </c>
      <c r="K296" s="2" t="inlineStr">
        <is>
          <t>🌟 Nuovo Arrivo TOP</t>
        </is>
      </c>
      <c r="L296" s="2" t="n">
        <v>19</v>
      </c>
      <c r="M296" s="2" t="n">
        <v>1</v>
      </c>
    </row>
    <row r="297">
      <c r="A297" s="2" t="inlineStr">
        <is>
          <t>Cancellieri</t>
        </is>
      </c>
      <c r="B297" s="2" t="inlineStr">
        <is>
          <t>Lazio</t>
        </is>
      </c>
      <c r="C297" s="2" t="inlineStr">
        <is>
          <t>C</t>
        </is>
      </c>
      <c r="D297" s="2" t="inlineStr">
        <is>
          <t>W/A</t>
        </is>
      </c>
      <c r="E297" s="2" t="n">
        <v>9</v>
      </c>
      <c r="F297" s="2" t="n">
        <v>1.4</v>
      </c>
      <c r="G297" s="2" t="n">
        <v>0.5</v>
      </c>
      <c r="H297" s="8" t="inlineStr">
        <is>
          <t>🪑 Riserva Fissa (da fasciaFc)</t>
        </is>
      </c>
      <c r="I297" s="2">
        <f>MAX(1,TRUNC(L297*(Impostazioni!$B$2/500)*1*M297*INDEX(Impostazioni!$E$23:$E$29,MATCH(H297,Impostazioni!$D$23:$D$29,0))))</f>
        <v/>
      </c>
      <c r="J297" s="9">
        <f>MAX(1,TRUNC(L297*(Impostazioni!$B$2/500)*INDEX(Motore!$A$5:$H$8,MATCH(C297,Motore!$A$5:$A$8,0),8)*M297*INDEX(Impostazioni!$E$23:$E$29,MATCH(H297,Impostazioni!$D$23:$D$29,0))))</f>
        <v/>
      </c>
      <c r="K297" s="2" t="inlineStr">
        <is>
          <t>Nuovo Arrivo (Rotazione)</t>
        </is>
      </c>
      <c r="L297" s="2" t="n">
        <v>10.35</v>
      </c>
      <c r="M297" s="2" t="n">
        <v>1</v>
      </c>
    </row>
    <row r="298">
      <c r="A298" s="2" t="inlineStr">
        <is>
          <t>Casadei</t>
        </is>
      </c>
      <c r="B298" s="2" t="inlineStr">
        <is>
          <t>Torino</t>
        </is>
      </c>
      <c r="C298" s="2" t="inlineStr">
        <is>
          <t>C</t>
        </is>
      </c>
      <c r="D298" s="2" t="inlineStr">
        <is>
          <t>C/T</t>
        </is>
      </c>
      <c r="E298" s="2" t="n">
        <v>9</v>
      </c>
      <c r="F298" s="2" t="n">
        <v>3.9</v>
      </c>
      <c r="G298" s="2" t="n">
        <v>0.5</v>
      </c>
      <c r="H298" s="8" t="inlineStr">
        <is>
          <t>🔴 Infortunato/Dubbio</t>
        </is>
      </c>
      <c r="I298" s="2">
        <f>MAX(1,TRUNC(L298*(Impostazioni!$B$2/500)*1*M298*INDEX(Impostazioni!$E$23:$E$29,MATCH(H298,Impostazioni!$D$23:$D$29,0))))</f>
        <v/>
      </c>
      <c r="J298" s="9">
        <f>MAX(1,TRUNC(L298*(Impostazioni!$B$2/500)*INDEX(Motore!$A$5:$H$8,MATCH(C298,Motore!$A$5:$A$8,0),8)*M298*INDEX(Impostazioni!$E$23:$E$29,MATCH(H298,Impostazioni!$D$23:$D$29,0))))</f>
        <v/>
      </c>
      <c r="K298" s="2" t="inlineStr">
        <is>
          <t>Nuovo Arrivo (Rotazione)</t>
        </is>
      </c>
      <c r="L298" s="2" t="n">
        <v>10.35</v>
      </c>
      <c r="M298" s="2" t="n">
        <v>1</v>
      </c>
    </row>
    <row r="299">
      <c r="A299" s="2" t="inlineStr">
        <is>
          <t>Colpani</t>
        </is>
      </c>
      <c r="B299" s="2" t="inlineStr">
        <is>
          <t>Monza</t>
        </is>
      </c>
      <c r="C299" s="2" t="inlineStr">
        <is>
          <t>C</t>
        </is>
      </c>
      <c r="D299" s="2" t="inlineStr">
        <is>
          <t>T</t>
        </is>
      </c>
      <c r="E299" s="2" t="n">
        <v>9</v>
      </c>
      <c r="F299" s="2" t="n">
        <v>2.3</v>
      </c>
      <c r="G299" s="2" t="n">
        <v>0.5</v>
      </c>
      <c r="H299" s="8" t="inlineStr">
        <is>
          <t>🟡 Ballottaggio</t>
        </is>
      </c>
      <c r="I299" s="2">
        <f>MAX(1,TRUNC(L299*(Impostazioni!$B$2/500)*1*M299*INDEX(Impostazioni!$E$23:$E$29,MATCH(H299,Impostazioni!$D$23:$D$29,0))))</f>
        <v/>
      </c>
      <c r="J299" s="9">
        <f>MAX(1,TRUNC(L299*(Impostazioni!$B$2/500)*INDEX(Motore!$A$5:$H$8,MATCH(C299,Motore!$A$5:$A$8,0),8)*M299*INDEX(Impostazioni!$E$23:$E$29,MATCH(H299,Impostazioni!$D$23:$D$29,0))))</f>
        <v/>
      </c>
      <c r="K299" s="2" t="inlineStr">
        <is>
          <t>Nuovo Arrivo (Rotazione)</t>
        </is>
      </c>
      <c r="L299" s="2" t="n">
        <v>10.35</v>
      </c>
      <c r="M299" s="2" t="n">
        <v>1</v>
      </c>
    </row>
    <row r="300">
      <c r="A300" s="2" t="inlineStr">
        <is>
          <t>Cristante</t>
        </is>
      </c>
      <c r="B300" s="2" t="inlineStr">
        <is>
          <t>Roma</t>
        </is>
      </c>
      <c r="C300" s="2" t="inlineStr">
        <is>
          <t>C</t>
        </is>
      </c>
      <c r="D300" s="2" t="inlineStr">
        <is>
          <t>M/C</t>
        </is>
      </c>
      <c r="E300" s="2" t="n">
        <v>9</v>
      </c>
      <c r="F300" s="2" t="n">
        <v>6.9</v>
      </c>
      <c r="G300" s="2" t="n">
        <v>0.5</v>
      </c>
      <c r="H300" s="8" t="inlineStr">
        <is>
          <t>Normale</t>
        </is>
      </c>
      <c r="I300" s="2">
        <f>MAX(1,TRUNC(L300*(Impostazioni!$B$2/500)*1*M300*INDEX(Impostazioni!$E$23:$E$29,MATCH(H300,Impostazioni!$D$23:$D$29,0))))</f>
        <v/>
      </c>
      <c r="J300" s="9">
        <f>MAX(1,TRUNC(L300*(Impostazioni!$B$2/500)*INDEX(Motore!$A$5:$H$8,MATCH(C300,Motore!$A$5:$A$8,0),8)*M300*INDEX(Impostazioni!$E$23:$E$29,MATCH(H300,Impostazioni!$D$23:$D$29,0))))</f>
        <v/>
      </c>
      <c r="K300" s="2" t="inlineStr">
        <is>
          <t>Nuovo Arrivo (Rotazione)</t>
        </is>
      </c>
      <c r="L300" s="2" t="n">
        <v>10.35</v>
      </c>
      <c r="M300" s="2" t="n">
        <v>1</v>
      </c>
    </row>
    <row r="301">
      <c r="A301" s="2" t="inlineStr">
        <is>
          <t>Diouf</t>
        </is>
      </c>
      <c r="B301" s="2" t="inlineStr">
        <is>
          <t>Inter</t>
        </is>
      </c>
      <c r="C301" s="2" t="inlineStr">
        <is>
          <t>C</t>
        </is>
      </c>
      <c r="D301" s="2" t="inlineStr">
        <is>
          <t>E/C</t>
        </is>
      </c>
      <c r="E301" s="2" t="n">
        <v>9</v>
      </c>
      <c r="F301" s="2" t="n">
        <v>18.05</v>
      </c>
      <c r="G301" s="2" t="n">
        <v>7.25</v>
      </c>
      <c r="H301" s="8" t="inlineStr">
        <is>
          <t>🟡 Ballottaggio</t>
        </is>
      </c>
      <c r="I301" s="2">
        <f>MAX(1,TRUNC(L301*(Impostazioni!$B$2/500)*1*M301*INDEX(Impostazioni!$E$23:$E$29,MATCH(H301,Impostazioni!$D$23:$D$29,0))))</f>
        <v/>
      </c>
      <c r="J301" s="9">
        <f>MAX(1,TRUNC(L301*(Impostazioni!$B$2/500)*INDEX(Motore!$A$5:$H$8,MATCH(C301,Motore!$A$5:$A$8,0),8)*M301*INDEX(Impostazioni!$E$23:$E$29,MATCH(H301,Impostazioni!$D$23:$D$29,0))))</f>
        <v/>
      </c>
      <c r="K301" s="2" t="inlineStr">
        <is>
          <t>Nuovo Arrivo (Rotazione)</t>
        </is>
      </c>
      <c r="L301" s="2" t="n">
        <v>10.35</v>
      </c>
      <c r="M301" s="2" t="n">
        <v>1</v>
      </c>
    </row>
    <row r="302">
      <c r="A302" s="2" t="inlineStr">
        <is>
          <t>Isaksen</t>
        </is>
      </c>
      <c r="B302" s="2" t="inlineStr">
        <is>
          <t>Lazio</t>
        </is>
      </c>
      <c r="C302" s="2" t="inlineStr">
        <is>
          <t>C</t>
        </is>
      </c>
      <c r="D302" s="2" t="inlineStr">
        <is>
          <t>W/A</t>
        </is>
      </c>
      <c r="E302" s="2" t="n">
        <v>9</v>
      </c>
      <c r="F302" s="2" t="n">
        <v>3.15</v>
      </c>
      <c r="G302" s="2" t="n">
        <v>2</v>
      </c>
      <c r="H302" s="8" t="inlineStr">
        <is>
          <t>🟡 Ballottaggio</t>
        </is>
      </c>
      <c r="I302" s="2">
        <f>MAX(1,TRUNC(L302*(Impostazioni!$B$2/500)*1*M302*INDEX(Impostazioni!$E$23:$E$29,MATCH(H302,Impostazioni!$D$23:$D$29,0))))</f>
        <v/>
      </c>
      <c r="J302" s="9">
        <f>MAX(1,TRUNC(L302*(Impostazioni!$B$2/500)*INDEX(Motore!$A$5:$H$8,MATCH(C302,Motore!$A$5:$A$8,0),8)*M302*INDEX(Impostazioni!$E$23:$E$29,MATCH(H302,Impostazioni!$D$23:$D$29,0))))</f>
        <v/>
      </c>
      <c r="K302" s="2" t="inlineStr">
        <is>
          <t>Nuovo Arrivo (Rotazione)</t>
        </is>
      </c>
      <c r="L302" s="2" t="n">
        <v>10.35</v>
      </c>
      <c r="M302" s="2" t="n">
        <v>1</v>
      </c>
    </row>
    <row r="303">
      <c r="A303" s="2" t="inlineStr">
        <is>
          <t>Locatelli</t>
        </is>
      </c>
      <c r="B303" s="2" t="inlineStr">
        <is>
          <t>Juventus</t>
        </is>
      </c>
      <c r="C303" s="2" t="inlineStr">
        <is>
          <t>C</t>
        </is>
      </c>
      <c r="D303" s="2" t="inlineStr">
        <is>
          <t>M/C</t>
        </is>
      </c>
      <c r="E303" s="2" t="n">
        <v>9</v>
      </c>
      <c r="F303" s="2" t="n">
        <v>7.15</v>
      </c>
      <c r="G303" s="2" t="n">
        <v>0.5</v>
      </c>
      <c r="H303" s="8" t="inlineStr">
        <is>
          <t>Normale</t>
        </is>
      </c>
      <c r="I303" s="2">
        <f>MAX(1,TRUNC(L303*(Impostazioni!$B$2/500)*1*M303*INDEX(Impostazioni!$E$23:$E$29,MATCH(H303,Impostazioni!$D$23:$D$29,0))))</f>
        <v/>
      </c>
      <c r="J303" s="9">
        <f>MAX(1,TRUNC(L303*(Impostazioni!$B$2/500)*INDEX(Motore!$A$5:$H$8,MATCH(C303,Motore!$A$5:$A$8,0),8)*M303*INDEX(Impostazioni!$E$23:$E$29,MATCH(H303,Impostazioni!$D$23:$D$29,0))))</f>
        <v/>
      </c>
      <c r="K303" s="2" t="inlineStr">
        <is>
          <t>Nuovo Arrivo (Rotazione)</t>
        </is>
      </c>
      <c r="L303" s="2" t="n">
        <v>10.35</v>
      </c>
      <c r="M303" s="2" t="n">
        <v>1</v>
      </c>
    </row>
    <row r="304">
      <c r="A304" s="2" t="inlineStr">
        <is>
          <t>Pellegrini Lo.</t>
        </is>
      </c>
      <c r="B304" s="2" t="inlineStr">
        <is>
          <t>Roma</t>
        </is>
      </c>
      <c r="C304" s="2" t="inlineStr">
        <is>
          <t>C</t>
        </is>
      </c>
      <c r="D304" s="2" t="inlineStr">
        <is>
          <t>C/T</t>
        </is>
      </c>
      <c r="E304" s="2" t="n">
        <v>9</v>
      </c>
      <c r="F304" s="2" t="n">
        <v>1.6</v>
      </c>
      <c r="G304" s="2" t="n">
        <v>0.5</v>
      </c>
      <c r="H304" s="8" t="inlineStr">
        <is>
          <t>Normale</t>
        </is>
      </c>
      <c r="I304" s="2">
        <f>MAX(1,TRUNC(L304*(Impostazioni!$B$2/500)*1*M304*INDEX(Impostazioni!$E$23:$E$29,MATCH(H304,Impostazioni!$D$23:$D$29,0))))</f>
        <v/>
      </c>
      <c r="J304" s="9">
        <f>MAX(1,TRUNC(L304*(Impostazioni!$B$2/500)*INDEX(Motore!$A$5:$H$8,MATCH(C304,Motore!$A$5:$A$8,0),8)*M304*INDEX(Impostazioni!$E$23:$E$29,MATCH(H304,Impostazioni!$D$23:$D$29,0))))</f>
        <v/>
      </c>
      <c r="K304" s="2" t="inlineStr">
        <is>
          <t>Nuovo Arrivo (Rotazione)</t>
        </is>
      </c>
      <c r="L304" s="2" t="n">
        <v>10.35</v>
      </c>
      <c r="M304" s="2" t="n">
        <v>1</v>
      </c>
    </row>
    <row r="305">
      <c r="A305" s="2" t="inlineStr">
        <is>
          <t>Politano</t>
        </is>
      </c>
      <c r="B305" s="2" t="inlineStr">
        <is>
          <t>Napoli</t>
        </is>
      </c>
      <c r="C305" s="2" t="inlineStr">
        <is>
          <t>C</t>
        </is>
      </c>
      <c r="D305" s="2" t="inlineStr">
        <is>
          <t>W</t>
        </is>
      </c>
      <c r="E305" s="2" t="n">
        <v>9</v>
      </c>
      <c r="F305" s="2" t="n">
        <v>5.25</v>
      </c>
      <c r="G305" s="2" t="n">
        <v>15.7</v>
      </c>
      <c r="H305" s="8" t="inlineStr">
        <is>
          <t>Normale</t>
        </is>
      </c>
      <c r="I305" s="2">
        <f>MAX(1,TRUNC(L305*(Impostazioni!$B$2/500)*1*M305*INDEX(Impostazioni!$E$23:$E$29,MATCH(H305,Impostazioni!$D$23:$D$29,0))))</f>
        <v/>
      </c>
      <c r="J305" s="9">
        <f>MAX(1,TRUNC(L305*(Impostazioni!$B$2/500)*INDEX(Motore!$A$5:$H$8,MATCH(C305,Motore!$A$5:$A$8,0),8)*M305*INDEX(Impostazioni!$E$23:$E$29,MATCH(H305,Impostazioni!$D$23:$D$29,0))))</f>
        <v/>
      </c>
      <c r="K305" s="2" t="inlineStr">
        <is>
          <t>Nuovo Arrivo (Rotazione)</t>
        </is>
      </c>
      <c r="L305" s="2" t="n">
        <v>10.35</v>
      </c>
      <c r="M305" s="2" t="n">
        <v>1</v>
      </c>
    </row>
    <row r="306">
      <c r="A306" s="2" t="inlineStr">
        <is>
          <t>Sucic P.</t>
        </is>
      </c>
      <c r="B306" s="2" t="inlineStr">
        <is>
          <t>Inter</t>
        </is>
      </c>
      <c r="C306" s="2" t="inlineStr">
        <is>
          <t>C</t>
        </is>
      </c>
      <c r="D306" s="2" t="inlineStr">
        <is>
          <t>C</t>
        </is>
      </c>
      <c r="E306" s="2" t="n">
        <v>9</v>
      </c>
      <c r="F306" s="2" t="n">
        <v>4.2</v>
      </c>
      <c r="G306" s="2" t="n">
        <v>0.5</v>
      </c>
      <c r="H306" s="8" t="inlineStr">
        <is>
          <t>Normale</t>
        </is>
      </c>
      <c r="I306" s="2">
        <f>MAX(1,TRUNC(L306*(Impostazioni!$B$2/500)*1*M306*INDEX(Impostazioni!$E$23:$E$29,MATCH(H306,Impostazioni!$D$23:$D$29,0))))</f>
        <v/>
      </c>
      <c r="J306" s="9">
        <f>MAX(1,TRUNC(L306*(Impostazioni!$B$2/500)*INDEX(Motore!$A$5:$H$8,MATCH(C306,Motore!$A$5:$A$8,0),8)*M306*INDEX(Impostazioni!$E$23:$E$29,MATCH(H306,Impostazioni!$D$23:$D$29,0))))</f>
        <v/>
      </c>
      <c r="K306" s="2" t="inlineStr">
        <is>
          <t>Nuovo Arrivo (Rotazione)</t>
        </is>
      </c>
      <c r="L306" s="2" t="n">
        <v>10.35</v>
      </c>
      <c r="M306" s="2" t="n">
        <v>1</v>
      </c>
    </row>
    <row r="307">
      <c r="A307" s="2" t="inlineStr">
        <is>
          <t>Thuram K.</t>
        </is>
      </c>
      <c r="B307" s="2" t="inlineStr">
        <is>
          <t>Juventus</t>
        </is>
      </c>
      <c r="C307" s="2" t="inlineStr">
        <is>
          <t>C</t>
        </is>
      </c>
      <c r="D307" s="2" t="inlineStr">
        <is>
          <t>C</t>
        </is>
      </c>
      <c r="E307" s="2" t="n">
        <v>9</v>
      </c>
      <c r="F307" s="2" t="n">
        <v>2.15</v>
      </c>
      <c r="G307" s="2" t="n">
        <v>0.5</v>
      </c>
      <c r="H307" s="8" t="inlineStr">
        <is>
          <t>🔴 Infortunato/Dubbio</t>
        </is>
      </c>
      <c r="I307" s="2">
        <f>MAX(1,TRUNC(L307*(Impostazioni!$B$2/500)*1*M307*INDEX(Impostazioni!$E$23:$E$29,MATCH(H307,Impostazioni!$D$23:$D$29,0))))</f>
        <v/>
      </c>
      <c r="J307" s="9">
        <f>MAX(1,TRUNC(L307*(Impostazioni!$B$2/500)*INDEX(Motore!$A$5:$H$8,MATCH(C307,Motore!$A$5:$A$8,0),8)*M307*INDEX(Impostazioni!$E$23:$E$29,MATCH(H307,Impostazioni!$D$23:$D$29,0))))</f>
        <v/>
      </c>
      <c r="K307" s="2" t="inlineStr">
        <is>
          <t>Nuovo Arrivo (Rotazione)</t>
        </is>
      </c>
      <c r="L307" s="2" t="n">
        <v>10.35</v>
      </c>
      <c r="M307" s="2" t="n">
        <v>1</v>
      </c>
    </row>
    <row r="308">
      <c r="A308" s="2" t="inlineStr">
        <is>
          <t>Volpato</t>
        </is>
      </c>
      <c r="B308" s="2" t="inlineStr">
        <is>
          <t>Sassuolo</t>
        </is>
      </c>
      <c r="C308" s="2" t="inlineStr">
        <is>
          <t>C</t>
        </is>
      </c>
      <c r="D308" s="2" t="inlineStr">
        <is>
          <t>W/T</t>
        </is>
      </c>
      <c r="E308" s="2" t="n">
        <v>9</v>
      </c>
      <c r="F308" s="2" t="n">
        <v>2.85</v>
      </c>
      <c r="G308" s="2" t="n">
        <v>0.5</v>
      </c>
      <c r="H308" s="8" t="inlineStr">
        <is>
          <t>Normale</t>
        </is>
      </c>
      <c r="I308" s="2">
        <f>MAX(1,TRUNC(L308*(Impostazioni!$B$2/500)*1*M308*INDEX(Impostazioni!$E$23:$E$29,MATCH(H308,Impostazioni!$D$23:$D$29,0))))</f>
        <v/>
      </c>
      <c r="J308" s="9">
        <f>MAX(1,TRUNC(L308*(Impostazioni!$B$2/500)*INDEX(Motore!$A$5:$H$8,MATCH(C308,Motore!$A$5:$A$8,0),8)*M308*INDEX(Impostazioni!$E$23:$E$29,MATCH(H308,Impostazioni!$D$23:$D$29,0))))</f>
        <v/>
      </c>
      <c r="K308" s="2" t="inlineStr">
        <is>
          <t>Nuovo Arrivo (Rotazione)</t>
        </is>
      </c>
      <c r="L308" s="2" t="n">
        <v>10.35</v>
      </c>
      <c r="M308" s="2" t="n">
        <v>1</v>
      </c>
    </row>
    <row r="309">
      <c r="A309" s="2" t="inlineStr">
        <is>
          <t>Calò</t>
        </is>
      </c>
      <c r="B309" s="2" t="inlineStr">
        <is>
          <t>Frosinone</t>
        </is>
      </c>
      <c r="C309" s="2" t="inlineStr">
        <is>
          <t>C</t>
        </is>
      </c>
      <c r="D309" s="2" t="inlineStr">
        <is>
          <t>M/C</t>
        </is>
      </c>
      <c r="E309" s="2" t="n">
        <v>8</v>
      </c>
      <c r="F309" s="2" t="n">
        <v>8.15</v>
      </c>
      <c r="G309" s="2" t="n">
        <v>1.5</v>
      </c>
      <c r="H309" s="8" t="inlineStr">
        <is>
          <t>🎯 Rigorista designato</t>
        </is>
      </c>
      <c r="I309" s="2">
        <f>MAX(1,TRUNC(L309*(Impostazioni!$B$2/500)*1*M309*INDEX(Impostazioni!$E$23:$E$29,MATCH(H309,Impostazioni!$D$23:$D$29,0))))</f>
        <v/>
      </c>
      <c r="J309" s="9">
        <f>MAX(1,TRUNC(L309*(Impostazioni!$B$2/500)*INDEX(Motore!$A$5:$H$8,MATCH(C309,Motore!$A$5:$A$8,0),8)*M309*INDEX(Impostazioni!$E$23:$E$29,MATCH(H309,Impostazioni!$D$23:$D$29,0))))</f>
        <v/>
      </c>
      <c r="K309" s="2" t="inlineStr">
        <is>
          <t>Nuovo Arrivo (Rotazione)</t>
        </is>
      </c>
      <c r="L309" s="2" t="n">
        <v>9.199999999999999</v>
      </c>
      <c r="M309" s="2" t="n">
        <v>1</v>
      </c>
    </row>
    <row r="310">
      <c r="A310" s="2" t="inlineStr">
        <is>
          <t>Cambiaghi</t>
        </is>
      </c>
      <c r="B310" s="2" t="inlineStr">
        <is>
          <t>Bologna</t>
        </is>
      </c>
      <c r="C310" s="2" t="inlineStr">
        <is>
          <t>C</t>
        </is>
      </c>
      <c r="D310" s="2" t="inlineStr">
        <is>
          <t>W/A</t>
        </is>
      </c>
      <c r="E310" s="2" t="n">
        <v>8</v>
      </c>
      <c r="F310" s="2" t="n">
        <v>3.25</v>
      </c>
      <c r="G310" s="2" t="n">
        <v>0.5</v>
      </c>
      <c r="H310" s="8" t="inlineStr">
        <is>
          <t>🟡 Ballottaggio</t>
        </is>
      </c>
      <c r="I310" s="2">
        <f>MAX(1,TRUNC(L310*(Impostazioni!$B$2/500)*1*M310*INDEX(Impostazioni!$E$23:$E$29,MATCH(H310,Impostazioni!$D$23:$D$29,0))))</f>
        <v/>
      </c>
      <c r="J310" s="9">
        <f>MAX(1,TRUNC(L310*(Impostazioni!$B$2/500)*INDEX(Motore!$A$5:$H$8,MATCH(C310,Motore!$A$5:$A$8,0),8)*M310*INDEX(Impostazioni!$E$23:$E$29,MATCH(H310,Impostazioni!$D$23:$D$29,0))))</f>
        <v/>
      </c>
      <c r="K310" s="2" t="inlineStr">
        <is>
          <t>Nuovo Arrivo (Rotazione)</t>
        </is>
      </c>
      <c r="L310" s="2" t="n">
        <v>9.199999999999999</v>
      </c>
      <c r="M310" s="2" t="n">
        <v>1</v>
      </c>
    </row>
    <row r="311">
      <c r="A311" s="2" t="inlineStr">
        <is>
          <t>Chukwueze</t>
        </is>
      </c>
      <c r="B311" s="2" t="inlineStr">
        <is>
          <t>Milan</t>
        </is>
      </c>
      <c r="C311" s="2" t="inlineStr">
        <is>
          <t>C</t>
        </is>
      </c>
      <c r="D311" s="2" t="inlineStr">
        <is>
          <t>E/W</t>
        </is>
      </c>
      <c r="E311" s="2" t="n">
        <v>8</v>
      </c>
      <c r="F311" s="2" t="n">
        <v>9.199999999999999</v>
      </c>
      <c r="G311" s="2" t="n">
        <v>3.7</v>
      </c>
      <c r="H311" s="8" t="inlineStr">
        <is>
          <t>🟡 Ballottaggio</t>
        </is>
      </c>
      <c r="I311" s="2">
        <f>MAX(1,TRUNC(L311*(Impostazioni!$B$2/500)*1*M311*INDEX(Impostazioni!$E$23:$E$29,MATCH(H311,Impostazioni!$D$23:$D$29,0))))</f>
        <v/>
      </c>
      <c r="J311" s="9">
        <f>MAX(1,TRUNC(L311*(Impostazioni!$B$2/500)*INDEX(Motore!$A$5:$H$8,MATCH(C311,Motore!$A$5:$A$8,0),8)*M311*INDEX(Impostazioni!$E$23:$E$29,MATCH(H311,Impostazioni!$D$23:$D$29,0))))</f>
        <v/>
      </c>
      <c r="K311" s="2" t="inlineStr">
        <is>
          <t>Nuovo Arrivo (Rotazione)</t>
        </is>
      </c>
      <c r="L311" s="2" t="n">
        <v>9.199999999999999</v>
      </c>
      <c r="M311" s="2" t="n">
        <v>1</v>
      </c>
    </row>
    <row r="312">
      <c r="A312" s="2" t="inlineStr">
        <is>
          <t>Hutchinson</t>
        </is>
      </c>
      <c r="B312" s="2" t="inlineStr">
        <is>
          <t>Milan</t>
        </is>
      </c>
      <c r="C312" s="2" t="inlineStr">
        <is>
          <t>C</t>
        </is>
      </c>
      <c r="D312" s="2" t="inlineStr">
        <is>
          <t>W/A</t>
        </is>
      </c>
      <c r="E312" s="2" t="n">
        <v>8</v>
      </c>
      <c r="F312" s="2" t="n">
        <v>2.35</v>
      </c>
      <c r="G312" s="2" t="n">
        <v>3.2</v>
      </c>
      <c r="H312" s="8" t="inlineStr">
        <is>
          <t>Normale</t>
        </is>
      </c>
      <c r="I312" s="2">
        <f>MAX(1,TRUNC(L312*(Impostazioni!$B$2/500)*1*M312*INDEX(Impostazioni!$E$23:$E$29,MATCH(H312,Impostazioni!$D$23:$D$29,0))))</f>
        <v/>
      </c>
      <c r="J312" s="9">
        <f>MAX(1,TRUNC(L312*(Impostazioni!$B$2/500)*INDEX(Motore!$A$5:$H$8,MATCH(C312,Motore!$A$5:$A$8,0),8)*M312*INDEX(Impostazioni!$E$23:$E$29,MATCH(H312,Impostazioni!$D$23:$D$29,0))))</f>
        <v/>
      </c>
      <c r="K312" s="2" t="inlineStr">
        <is>
          <t>Nuovo Arrivo (Rotazione)</t>
        </is>
      </c>
      <c r="L312" s="2" t="n">
        <v>9.199999999999999</v>
      </c>
      <c r="M312" s="2" t="n">
        <v>1</v>
      </c>
    </row>
    <row r="313">
      <c r="A313" s="2" t="inlineStr">
        <is>
          <t>Konè I.</t>
        </is>
      </c>
      <c r="B313" s="2" t="inlineStr">
        <is>
          <t>Sassuolo</t>
        </is>
      </c>
      <c r="C313" s="2" t="inlineStr">
        <is>
          <t>C</t>
        </is>
      </c>
      <c r="D313" s="2" t="inlineStr">
        <is>
          <t>C</t>
        </is>
      </c>
      <c r="E313" s="2" t="n">
        <v>8</v>
      </c>
      <c r="F313" s="2" t="n">
        <v>1.15</v>
      </c>
      <c r="G313" s="2" t="n">
        <v>0.5</v>
      </c>
      <c r="H313" s="8" t="inlineStr">
        <is>
          <t>🔴 Infortunato/Dubbio</t>
        </is>
      </c>
      <c r="I313" s="2">
        <f>MAX(1,TRUNC(L313*(Impostazioni!$B$2/500)*1*M313*INDEX(Impostazioni!$E$23:$E$29,MATCH(H313,Impostazioni!$D$23:$D$29,0))))</f>
        <v/>
      </c>
      <c r="J313" s="9">
        <f>MAX(1,TRUNC(L313*(Impostazioni!$B$2/500)*INDEX(Motore!$A$5:$H$8,MATCH(C313,Motore!$A$5:$A$8,0),8)*M313*INDEX(Impostazioni!$E$23:$E$29,MATCH(H313,Impostazioni!$D$23:$D$29,0))))</f>
        <v/>
      </c>
      <c r="K313" s="2" t="inlineStr">
        <is>
          <t>Nuovo Arrivo (Rotazione)</t>
        </is>
      </c>
      <c r="L313" s="2" t="n">
        <v>9.199999999999999</v>
      </c>
      <c r="M313" s="2" t="n">
        <v>1</v>
      </c>
    </row>
    <row r="314">
      <c r="A314" s="2" t="inlineStr">
        <is>
          <t>Lobotka</t>
        </is>
      </c>
      <c r="B314" s="2" t="inlineStr">
        <is>
          <t>Napoli</t>
        </is>
      </c>
      <c r="C314" s="2" t="inlineStr">
        <is>
          <t>C</t>
        </is>
      </c>
      <c r="D314" s="2" t="inlineStr">
        <is>
          <t>M/C</t>
        </is>
      </c>
      <c r="E314" s="2" t="n">
        <v>8</v>
      </c>
      <c r="F314" s="2" t="n">
        <v>6.4</v>
      </c>
      <c r="G314" s="2" t="n">
        <v>0.5</v>
      </c>
      <c r="H314" s="8" t="inlineStr">
        <is>
          <t>Normale</t>
        </is>
      </c>
      <c r="I314" s="2">
        <f>MAX(1,TRUNC(L314*(Impostazioni!$B$2/500)*1*M314*INDEX(Impostazioni!$E$23:$E$29,MATCH(H314,Impostazioni!$D$23:$D$29,0))))</f>
        <v/>
      </c>
      <c r="J314" s="9">
        <f>MAX(1,TRUNC(L314*(Impostazioni!$B$2/500)*INDEX(Motore!$A$5:$H$8,MATCH(C314,Motore!$A$5:$A$8,0),8)*M314*INDEX(Impostazioni!$E$23:$E$29,MATCH(H314,Impostazioni!$D$23:$D$29,0))))</f>
        <v/>
      </c>
      <c r="K314" s="2" t="inlineStr">
        <is>
          <t>Nuovo Arrivo (Rotazione)</t>
        </is>
      </c>
      <c r="L314" s="2" t="n">
        <v>9.199999999999999</v>
      </c>
      <c r="M314" s="2" t="n">
        <v>1</v>
      </c>
    </row>
    <row r="315">
      <c r="A315" s="2" t="inlineStr">
        <is>
          <t>Mandragora</t>
        </is>
      </c>
      <c r="B315" s="2" t="inlineStr">
        <is>
          <t>Torino</t>
        </is>
      </c>
      <c r="C315" s="2" t="inlineStr">
        <is>
          <t>C</t>
        </is>
      </c>
      <c r="D315" s="2" t="inlineStr">
        <is>
          <t>C</t>
        </is>
      </c>
      <c r="E315" s="2" t="n">
        <v>8</v>
      </c>
      <c r="F315" s="2" t="n">
        <v>3.5</v>
      </c>
      <c r="G315" s="2" t="n">
        <v>0.5</v>
      </c>
      <c r="H315" s="8" t="inlineStr">
        <is>
          <t>🟡 Ballottaggio</t>
        </is>
      </c>
      <c r="I315" s="2">
        <f>MAX(1,TRUNC(L315*(Impostazioni!$B$2/500)*1*M315*INDEX(Impostazioni!$E$23:$E$29,MATCH(H315,Impostazioni!$D$23:$D$29,0))))</f>
        <v/>
      </c>
      <c r="J315" s="9">
        <f>MAX(1,TRUNC(L315*(Impostazioni!$B$2/500)*INDEX(Motore!$A$5:$H$8,MATCH(C315,Motore!$A$5:$A$8,0),8)*M315*INDEX(Impostazioni!$E$23:$E$29,MATCH(H315,Impostazioni!$D$23:$D$29,0))))</f>
        <v/>
      </c>
      <c r="K315" s="2" t="inlineStr">
        <is>
          <t>Nuovo Arrivo (Rotazione)</t>
        </is>
      </c>
      <c r="L315" s="2" t="n">
        <v>9.199999999999999</v>
      </c>
      <c r="M315" s="2" t="n">
        <v>1</v>
      </c>
    </row>
    <row r="316">
      <c r="A316" s="2" t="inlineStr">
        <is>
          <t>Mbangula</t>
        </is>
      </c>
      <c r="B316" s="2" t="inlineStr">
        <is>
          <t>Bologna</t>
        </is>
      </c>
      <c r="C316" s="2" t="inlineStr">
        <is>
          <t>C</t>
        </is>
      </c>
      <c r="D316" s="2" t="inlineStr">
        <is>
          <t>W/A</t>
        </is>
      </c>
      <c r="E316" s="2" t="n">
        <v>8</v>
      </c>
      <c r="F316" s="2" t="n">
        <v>1.8</v>
      </c>
      <c r="G316" s="2" t="n">
        <v>2.4</v>
      </c>
      <c r="H316" s="8" t="inlineStr">
        <is>
          <t>🟡 Ballottaggio</t>
        </is>
      </c>
      <c r="I316" s="2">
        <f>MAX(1,TRUNC(L316*(Impostazioni!$B$2/500)*1*M316*INDEX(Impostazioni!$E$23:$E$29,MATCH(H316,Impostazioni!$D$23:$D$29,0))))</f>
        <v/>
      </c>
      <c r="J316" s="9">
        <f>MAX(1,TRUNC(L316*(Impostazioni!$B$2/500)*INDEX(Motore!$A$5:$H$8,MATCH(C316,Motore!$A$5:$A$8,0),8)*M316*INDEX(Impostazioni!$E$23:$E$29,MATCH(H316,Impostazioni!$D$23:$D$29,0))))</f>
        <v/>
      </c>
      <c r="K316" s="2" t="inlineStr">
        <is>
          <t>Nuovo Arrivo (Rotazione)</t>
        </is>
      </c>
      <c r="L316" s="2" t="n">
        <v>9.199999999999999</v>
      </c>
      <c r="M316" s="2" t="n">
        <v>1</v>
      </c>
    </row>
    <row r="317">
      <c r="A317" s="2" t="inlineStr">
        <is>
          <t>Odgaard</t>
        </is>
      </c>
      <c r="B317" s="2" t="inlineStr">
        <is>
          <t>Bologna</t>
        </is>
      </c>
      <c r="C317" s="2" t="inlineStr">
        <is>
          <t>C</t>
        </is>
      </c>
      <c r="D317" s="2" t="inlineStr">
        <is>
          <t>T</t>
        </is>
      </c>
      <c r="E317" s="2" t="n">
        <v>8</v>
      </c>
      <c r="F317" s="2" t="n">
        <v>1.7</v>
      </c>
      <c r="G317" s="2" t="n">
        <v>2.95</v>
      </c>
      <c r="H317" s="8" t="inlineStr">
        <is>
          <t>Normale</t>
        </is>
      </c>
      <c r="I317" s="2">
        <f>MAX(1,TRUNC(L317*(Impostazioni!$B$2/500)*1*M317*INDEX(Impostazioni!$E$23:$E$29,MATCH(H317,Impostazioni!$D$23:$D$29,0))))</f>
        <v/>
      </c>
      <c r="J317" s="9">
        <f>MAX(1,TRUNC(L317*(Impostazioni!$B$2/500)*INDEX(Motore!$A$5:$H$8,MATCH(C317,Motore!$A$5:$A$8,0),8)*M317*INDEX(Impostazioni!$E$23:$E$29,MATCH(H317,Impostazioni!$D$23:$D$29,0))))</f>
        <v/>
      </c>
      <c r="K317" s="2" t="inlineStr">
        <is>
          <t>Nuovo Arrivo (Rotazione)</t>
        </is>
      </c>
      <c r="L317" s="2" t="n">
        <v>9.199999999999999</v>
      </c>
      <c r="M317" s="2" t="n">
        <v>1</v>
      </c>
    </row>
    <row r="318">
      <c r="A318" s="2" t="inlineStr">
        <is>
          <t>Pasalic</t>
        </is>
      </c>
      <c r="B318" s="2" t="inlineStr">
        <is>
          <t>Atalanta</t>
        </is>
      </c>
      <c r="C318" s="2" t="inlineStr">
        <is>
          <t>C</t>
        </is>
      </c>
      <c r="D318" s="2" t="inlineStr">
        <is>
          <t>C/T</t>
        </is>
      </c>
      <c r="E318" s="2" t="n">
        <v>8</v>
      </c>
      <c r="F318" s="2" t="n">
        <v>2.4</v>
      </c>
      <c r="G318" s="2" t="n">
        <v>2.05</v>
      </c>
      <c r="H318" s="8" t="inlineStr">
        <is>
          <t>Normale</t>
        </is>
      </c>
      <c r="I318" s="2">
        <f>MAX(1,TRUNC(L318*(Impostazioni!$B$2/500)*1*M318*INDEX(Impostazioni!$E$23:$E$29,MATCH(H318,Impostazioni!$D$23:$D$29,0))))</f>
        <v/>
      </c>
      <c r="J318" s="9">
        <f>MAX(1,TRUNC(L318*(Impostazioni!$B$2/500)*INDEX(Motore!$A$5:$H$8,MATCH(C318,Motore!$A$5:$A$8,0),8)*M318*INDEX(Impostazioni!$E$23:$E$29,MATCH(H318,Impostazioni!$D$23:$D$29,0))))</f>
        <v/>
      </c>
      <c r="K318" s="2" t="inlineStr">
        <is>
          <t>Nuovo Arrivo (Rotazione)</t>
        </is>
      </c>
      <c r="L318" s="2" t="n">
        <v>9.199999999999999</v>
      </c>
      <c r="M318" s="2" t="n">
        <v>1</v>
      </c>
    </row>
    <row r="319">
      <c r="A319" s="2" t="inlineStr">
        <is>
          <t>Schmid</t>
        </is>
      </c>
      <c r="B319" s="2" t="inlineStr">
        <is>
          <t>Frosinone</t>
        </is>
      </c>
      <c r="C319" s="2" t="inlineStr">
        <is>
          <t>C</t>
        </is>
      </c>
      <c r="D319" s="2" t="inlineStr">
        <is>
          <t>W/T</t>
        </is>
      </c>
      <c r="E319" s="2" t="n">
        <v>8</v>
      </c>
      <c r="F319" s="2" t="n">
        <v>1.7</v>
      </c>
      <c r="G319" s="2" t="n">
        <v>1.75</v>
      </c>
      <c r="H319" s="8" t="inlineStr">
        <is>
          <t>Normale</t>
        </is>
      </c>
      <c r="I319" s="2">
        <f>MAX(1,TRUNC(L319*(Impostazioni!$B$2/500)*1*M319*INDEX(Impostazioni!$E$23:$E$29,MATCH(H319,Impostazioni!$D$23:$D$29,0))))</f>
        <v/>
      </c>
      <c r="J319" s="9">
        <f>MAX(1,TRUNC(L319*(Impostazioni!$B$2/500)*INDEX(Motore!$A$5:$H$8,MATCH(C319,Motore!$A$5:$A$8,0),8)*M319*INDEX(Impostazioni!$E$23:$E$29,MATCH(H319,Impostazioni!$D$23:$D$29,0))))</f>
        <v/>
      </c>
      <c r="K319" s="2" t="inlineStr">
        <is>
          <t>Nuovo Arrivo (Rotazione)</t>
        </is>
      </c>
      <c r="L319" s="2" t="n">
        <v>9.199999999999999</v>
      </c>
      <c r="M319" s="2" t="n">
        <v>1</v>
      </c>
    </row>
    <row r="320">
      <c r="A320" s="2" t="inlineStr">
        <is>
          <t>Adopo</t>
        </is>
      </c>
      <c r="B320" s="2" t="inlineStr">
        <is>
          <t>Cagliari</t>
        </is>
      </c>
      <c r="C320" s="2" t="inlineStr">
        <is>
          <t>C</t>
        </is>
      </c>
      <c r="D320" s="2" t="inlineStr">
        <is>
          <t>M/C</t>
        </is>
      </c>
      <c r="E320" s="2" t="n">
        <v>7</v>
      </c>
      <c r="F320" s="2" t="n">
        <v>1.5</v>
      </c>
      <c r="G320" s="2" t="n">
        <v>0.5</v>
      </c>
      <c r="H320" s="8" t="inlineStr">
        <is>
          <t>Normale</t>
        </is>
      </c>
      <c r="I320" s="2">
        <f>MAX(1,TRUNC(L320*(Impostazioni!$B$2/500)*1*M320*INDEX(Impostazioni!$E$23:$E$29,MATCH(H320,Impostazioni!$D$23:$D$29,0))))</f>
        <v/>
      </c>
      <c r="J320" s="9">
        <f>MAX(1,TRUNC(L320*(Impostazioni!$B$2/500)*INDEX(Motore!$A$5:$H$8,MATCH(C320,Motore!$A$5:$A$8,0),8)*M320*INDEX(Impostazioni!$E$23:$E$29,MATCH(H320,Impostazioni!$D$23:$D$29,0))))</f>
        <v/>
      </c>
      <c r="K320" s="2" t="inlineStr">
        <is>
          <t>Nuovo Arrivo (Rotazione)</t>
        </is>
      </c>
      <c r="L320" s="2" t="n">
        <v>8.050000000000001</v>
      </c>
      <c r="M320" s="2" t="n">
        <v>1</v>
      </c>
    </row>
    <row r="321">
      <c r="A321" s="2" t="inlineStr">
        <is>
          <t>Akinsanmiro</t>
        </is>
      </c>
      <c r="B321" s="2" t="inlineStr">
        <is>
          <t>Monza</t>
        </is>
      </c>
      <c r="C321" s="2" t="inlineStr">
        <is>
          <t>C</t>
        </is>
      </c>
      <c r="D321" s="2" t="inlineStr">
        <is>
          <t>C</t>
        </is>
      </c>
      <c r="E321" s="2" t="n">
        <v>7</v>
      </c>
      <c r="F321" s="2" t="n">
        <v>1.25</v>
      </c>
      <c r="G321" s="2" t="n">
        <v>0.5</v>
      </c>
      <c r="H321" s="8" t="inlineStr">
        <is>
          <t>Normale</t>
        </is>
      </c>
      <c r="I321" s="2">
        <f>MAX(1,TRUNC(L321*(Impostazioni!$B$2/500)*1*M321*INDEX(Impostazioni!$E$23:$E$29,MATCH(H321,Impostazioni!$D$23:$D$29,0))))</f>
        <v/>
      </c>
      <c r="J321" s="9">
        <f>MAX(1,TRUNC(L321*(Impostazioni!$B$2/500)*INDEX(Motore!$A$5:$H$8,MATCH(C321,Motore!$A$5:$A$8,0),8)*M321*INDEX(Impostazioni!$E$23:$E$29,MATCH(H321,Impostazioni!$D$23:$D$29,0))))</f>
        <v/>
      </c>
      <c r="K321" s="2" t="inlineStr">
        <is>
          <t>Nuovo Arrivo (Rotazione)</t>
        </is>
      </c>
      <c r="L321" s="2" t="n">
        <v>8.050000000000001</v>
      </c>
      <c r="M321" s="2" t="n">
        <v>1</v>
      </c>
    </row>
    <row r="322">
      <c r="A322" s="2" t="inlineStr">
        <is>
          <t>Bernabè</t>
        </is>
      </c>
      <c r="B322" s="2" t="inlineStr">
        <is>
          <t>Parma</t>
        </is>
      </c>
      <c r="C322" s="2" t="inlineStr">
        <is>
          <t>C</t>
        </is>
      </c>
      <c r="D322" s="2" t="inlineStr">
        <is>
          <t>C</t>
        </is>
      </c>
      <c r="E322" s="2" t="n">
        <v>7</v>
      </c>
      <c r="F322" s="2" t="n">
        <v>3.55</v>
      </c>
      <c r="G322" s="2" t="n">
        <v>0.5</v>
      </c>
      <c r="H322" s="8" t="inlineStr">
        <is>
          <t>Normale</t>
        </is>
      </c>
      <c r="I322" s="2">
        <f>MAX(1,TRUNC(L322*(Impostazioni!$B$2/500)*1*M322*INDEX(Impostazioni!$E$23:$E$29,MATCH(H322,Impostazioni!$D$23:$D$29,0))))</f>
        <v/>
      </c>
      <c r="J322" s="9">
        <f>MAX(1,TRUNC(L322*(Impostazioni!$B$2/500)*INDEX(Motore!$A$5:$H$8,MATCH(C322,Motore!$A$5:$A$8,0),8)*M322*INDEX(Impostazioni!$E$23:$E$29,MATCH(H322,Impostazioni!$D$23:$D$29,0))))</f>
        <v/>
      </c>
      <c r="K322" s="2" t="inlineStr">
        <is>
          <t>Nuovo Arrivo (Rotazione)</t>
        </is>
      </c>
      <c r="L322" s="2" t="n">
        <v>8.050000000000001</v>
      </c>
      <c r="M322" s="2" t="n">
        <v>1</v>
      </c>
    </row>
    <row r="323">
      <c r="A323" s="2" t="inlineStr">
        <is>
          <t>Coulibaly L.</t>
        </is>
      </c>
      <c r="B323" s="2" t="inlineStr">
        <is>
          <t>Lecce</t>
        </is>
      </c>
      <c r="C323" s="2" t="inlineStr">
        <is>
          <t>C</t>
        </is>
      </c>
      <c r="D323" s="2" t="inlineStr">
        <is>
          <t>M/C</t>
        </is>
      </c>
      <c r="E323" s="2" t="n">
        <v>7</v>
      </c>
      <c r="F323" s="2" t="n">
        <v>1.65</v>
      </c>
      <c r="G323" s="2" t="n">
        <v>0.5</v>
      </c>
      <c r="H323" s="8" t="inlineStr">
        <is>
          <t>Normale</t>
        </is>
      </c>
      <c r="I323" s="2">
        <f>MAX(1,TRUNC(L323*(Impostazioni!$B$2/500)*1*M323*INDEX(Impostazioni!$E$23:$E$29,MATCH(H323,Impostazioni!$D$23:$D$29,0))))</f>
        <v/>
      </c>
      <c r="J323" s="9">
        <f>MAX(1,TRUNC(L323*(Impostazioni!$B$2/500)*INDEX(Motore!$A$5:$H$8,MATCH(C323,Motore!$A$5:$A$8,0),8)*M323*INDEX(Impostazioni!$E$23:$E$29,MATCH(H323,Impostazioni!$D$23:$D$29,0))))</f>
        <v/>
      </c>
      <c r="K323" s="2" t="inlineStr">
        <is>
          <t>Nuovo Arrivo (Rotazione)</t>
        </is>
      </c>
      <c r="L323" s="2" t="n">
        <v>8.050000000000001</v>
      </c>
      <c r="M323" s="2" t="n">
        <v>1</v>
      </c>
    </row>
    <row r="324">
      <c r="A324" s="2" t="inlineStr">
        <is>
          <t>El Shaarawy</t>
        </is>
      </c>
      <c r="B324" s="2" t="inlineStr">
        <is>
          <t>Genoa</t>
        </is>
      </c>
      <c r="C324" s="2" t="inlineStr">
        <is>
          <t>C</t>
        </is>
      </c>
      <c r="D324" s="2" t="inlineStr">
        <is>
          <t>W</t>
        </is>
      </c>
      <c r="E324" s="2" t="n">
        <v>7</v>
      </c>
      <c r="F324" s="2" t="n">
        <v>1.75</v>
      </c>
      <c r="G324" s="2" t="n">
        <v>0.5</v>
      </c>
      <c r="H324" s="8" t="inlineStr">
        <is>
          <t>Normale</t>
        </is>
      </c>
      <c r="I324" s="2">
        <f>MAX(1,TRUNC(L324*(Impostazioni!$B$2/500)*1*M324*INDEX(Impostazioni!$E$23:$E$29,MATCH(H324,Impostazioni!$D$23:$D$29,0))))</f>
        <v/>
      </c>
      <c r="J324" s="9">
        <f>MAX(1,TRUNC(L324*(Impostazioni!$B$2/500)*INDEX(Motore!$A$5:$H$8,MATCH(C324,Motore!$A$5:$A$8,0),8)*M324*INDEX(Impostazioni!$E$23:$E$29,MATCH(H324,Impostazioni!$D$23:$D$29,0))))</f>
        <v/>
      </c>
      <c r="K324" s="2" t="inlineStr">
        <is>
          <t>Nuovo Arrivo (Rotazione)</t>
        </is>
      </c>
      <c r="L324" s="2" t="n">
        <v>8.050000000000001</v>
      </c>
      <c r="M324" s="2" t="n">
        <v>1</v>
      </c>
    </row>
    <row r="325">
      <c r="A325" s="2" t="inlineStr">
        <is>
          <t>Elmas</t>
        </is>
      </c>
      <c r="B325" s="2" t="inlineStr">
        <is>
          <t>Atalanta</t>
        </is>
      </c>
      <c r="C325" s="2" t="inlineStr">
        <is>
          <t>C</t>
        </is>
      </c>
      <c r="D325" s="2" t="inlineStr">
        <is>
          <t>W/T</t>
        </is>
      </c>
      <c r="E325" s="2" t="n">
        <v>7</v>
      </c>
      <c r="F325" s="2" t="n">
        <v>1.65</v>
      </c>
      <c r="G325" s="2" t="n">
        <v>0.5</v>
      </c>
      <c r="H325" s="8" t="inlineStr">
        <is>
          <t>Normale</t>
        </is>
      </c>
      <c r="I325" s="2">
        <f>MAX(1,TRUNC(L325*(Impostazioni!$B$2/500)*1*M325*INDEX(Impostazioni!$E$23:$E$29,MATCH(H325,Impostazioni!$D$23:$D$29,0))))</f>
        <v/>
      </c>
      <c r="J325" s="9">
        <f>MAX(1,TRUNC(L325*(Impostazioni!$B$2/500)*INDEX(Motore!$A$5:$H$8,MATCH(C325,Motore!$A$5:$A$8,0),8)*M325*INDEX(Impostazioni!$E$23:$E$29,MATCH(H325,Impostazioni!$D$23:$D$29,0))))</f>
        <v/>
      </c>
      <c r="K325" s="2" t="inlineStr">
        <is>
          <t>Nuovo Arrivo (Rotazione)</t>
        </is>
      </c>
      <c r="L325" s="2" t="n">
        <v>8.050000000000001</v>
      </c>
      <c r="M325" s="2" t="n">
        <v>1</v>
      </c>
    </row>
    <row r="326">
      <c r="A326" s="2" t="inlineStr">
        <is>
          <t>Fagioli</t>
        </is>
      </c>
      <c r="B326" s="2" t="inlineStr">
        <is>
          <t>Fiorentina</t>
        </is>
      </c>
      <c r="C326" s="2" t="inlineStr">
        <is>
          <t>C</t>
        </is>
      </c>
      <c r="D326" s="2" t="inlineStr">
        <is>
          <t>M/C</t>
        </is>
      </c>
      <c r="E326" s="2" t="n">
        <v>7</v>
      </c>
      <c r="F326" s="2" t="n">
        <v>2.05</v>
      </c>
      <c r="G326" s="2" t="n">
        <v>0.5</v>
      </c>
      <c r="H326" s="8" t="inlineStr">
        <is>
          <t>🟡 Ballottaggio</t>
        </is>
      </c>
      <c r="I326" s="2">
        <f>MAX(1,TRUNC(L326*(Impostazioni!$B$2/500)*1*M326*INDEX(Impostazioni!$E$23:$E$29,MATCH(H326,Impostazioni!$D$23:$D$29,0))))</f>
        <v/>
      </c>
      <c r="J326" s="9">
        <f>MAX(1,TRUNC(L326*(Impostazioni!$B$2/500)*INDEX(Motore!$A$5:$H$8,MATCH(C326,Motore!$A$5:$A$8,0),8)*M326*INDEX(Impostazioni!$E$23:$E$29,MATCH(H326,Impostazioni!$D$23:$D$29,0))))</f>
        <v/>
      </c>
      <c r="K326" s="2" t="inlineStr">
        <is>
          <t>Nuovo Arrivo (Rotazione)</t>
        </is>
      </c>
      <c r="L326" s="2" t="n">
        <v>8.050000000000001</v>
      </c>
      <c r="M326" s="2" t="n">
        <v>1</v>
      </c>
    </row>
    <row r="327">
      <c r="A327" s="2" t="inlineStr">
        <is>
          <t>Ferguson</t>
        </is>
      </c>
      <c r="B327" s="2" t="inlineStr">
        <is>
          <t>Bologna</t>
        </is>
      </c>
      <c r="C327" s="2" t="inlineStr">
        <is>
          <t>C</t>
        </is>
      </c>
      <c r="D327" s="2" t="inlineStr">
        <is>
          <t>M/C</t>
        </is>
      </c>
      <c r="E327" s="2" t="n">
        <v>7</v>
      </c>
      <c r="F327" s="2" t="n">
        <v>4.25</v>
      </c>
      <c r="G327" s="2" t="n">
        <v>0.5</v>
      </c>
      <c r="H327" s="8" t="inlineStr">
        <is>
          <t>Normale</t>
        </is>
      </c>
      <c r="I327" s="2">
        <f>MAX(1,TRUNC(L327*(Impostazioni!$B$2/500)*1*M327*INDEX(Impostazioni!$E$23:$E$29,MATCH(H327,Impostazioni!$D$23:$D$29,0))))</f>
        <v/>
      </c>
      <c r="J327" s="9">
        <f>MAX(1,TRUNC(L327*(Impostazioni!$B$2/500)*INDEX(Motore!$A$5:$H$8,MATCH(C327,Motore!$A$5:$A$8,0),8)*M327*INDEX(Impostazioni!$E$23:$E$29,MATCH(H327,Impostazioni!$D$23:$D$29,0))))</f>
        <v/>
      </c>
      <c r="K327" s="2" t="inlineStr">
        <is>
          <t>Nuovo Arrivo (Rotazione)</t>
        </is>
      </c>
      <c r="L327" s="2" t="n">
        <v>8.050000000000001</v>
      </c>
      <c r="M327" s="2" t="n">
        <v>1</v>
      </c>
    </row>
    <row r="328">
      <c r="A328" s="2" t="inlineStr">
        <is>
          <t>Frendrup</t>
        </is>
      </c>
      <c r="B328" s="2" t="inlineStr">
        <is>
          <t>Genoa</t>
        </is>
      </c>
      <c r="C328" s="2" t="inlineStr">
        <is>
          <t>C</t>
        </is>
      </c>
      <c r="D328" s="2" t="inlineStr">
        <is>
          <t>M/C</t>
        </is>
      </c>
      <c r="E328" s="2" t="n">
        <v>7</v>
      </c>
      <c r="F328" s="2" t="n">
        <v>2.75</v>
      </c>
      <c r="G328" s="2" t="n">
        <v>0.5</v>
      </c>
      <c r="H328" s="8" t="inlineStr">
        <is>
          <t>🟡 Ballottaggio</t>
        </is>
      </c>
      <c r="I328" s="2">
        <f>MAX(1,TRUNC(L328*(Impostazioni!$B$2/500)*1*M328*INDEX(Impostazioni!$E$23:$E$29,MATCH(H328,Impostazioni!$D$23:$D$29,0))))</f>
        <v/>
      </c>
      <c r="J328" s="9">
        <f>MAX(1,TRUNC(L328*(Impostazioni!$B$2/500)*INDEX(Motore!$A$5:$H$8,MATCH(C328,Motore!$A$5:$A$8,0),8)*M328*INDEX(Impostazioni!$E$23:$E$29,MATCH(H328,Impostazioni!$D$23:$D$29,0))))</f>
        <v/>
      </c>
      <c r="K328" s="2" t="inlineStr">
        <is>
          <t>Nuovo Arrivo (Rotazione)</t>
        </is>
      </c>
      <c r="L328" s="2" t="n">
        <v>8.050000000000001</v>
      </c>
      <c r="M328" s="2" t="n">
        <v>1</v>
      </c>
    </row>
    <row r="329">
      <c r="A329" s="2" t="inlineStr">
        <is>
          <t>Gaetano</t>
        </is>
      </c>
      <c r="B329" s="2" t="inlineStr">
        <is>
          <t>Atalanta</t>
        </is>
      </c>
      <c r="C329" s="2" t="inlineStr">
        <is>
          <t>C</t>
        </is>
      </c>
      <c r="D329" s="2" t="inlineStr">
        <is>
          <t>M/C</t>
        </is>
      </c>
      <c r="E329" s="2" t="n">
        <v>7</v>
      </c>
      <c r="F329" s="2" t="n">
        <v>10.1</v>
      </c>
      <c r="G329" s="2" t="n">
        <v>3.25</v>
      </c>
      <c r="H329" s="8" t="inlineStr">
        <is>
          <t>Normale</t>
        </is>
      </c>
      <c r="I329" s="2">
        <f>MAX(1,TRUNC(L329*(Impostazioni!$B$2/500)*1*M329*INDEX(Impostazioni!$E$23:$E$29,MATCH(H329,Impostazioni!$D$23:$D$29,0))))</f>
        <v/>
      </c>
      <c r="J329" s="9">
        <f>MAX(1,TRUNC(L329*(Impostazioni!$B$2/500)*INDEX(Motore!$A$5:$H$8,MATCH(C329,Motore!$A$5:$A$8,0),8)*M329*INDEX(Impostazioni!$E$23:$E$29,MATCH(H329,Impostazioni!$D$23:$D$29,0))))</f>
        <v/>
      </c>
      <c r="K329" s="2" t="inlineStr">
        <is>
          <t>Nuovo Arrivo (Rotazione)</t>
        </is>
      </c>
      <c r="L329" s="2" t="n">
        <v>8.050000000000001</v>
      </c>
      <c r="M329" s="2" t="n">
        <v>1</v>
      </c>
    </row>
    <row r="330">
      <c r="A330" s="2" t="inlineStr">
        <is>
          <t>Karlstrom</t>
        </is>
      </c>
      <c r="B330" s="2" t="inlineStr">
        <is>
          <t>Udinese</t>
        </is>
      </c>
      <c r="C330" s="2" t="inlineStr">
        <is>
          <t>C</t>
        </is>
      </c>
      <c r="D330" s="2" t="inlineStr">
        <is>
          <t>M/C</t>
        </is>
      </c>
      <c r="E330" s="2" t="n">
        <v>7</v>
      </c>
      <c r="F330" s="2" t="n">
        <v>2.1</v>
      </c>
      <c r="G330" s="2" t="n">
        <v>0.5</v>
      </c>
      <c r="H330" s="8" t="inlineStr">
        <is>
          <t>Normale</t>
        </is>
      </c>
      <c r="I330" s="2">
        <f>MAX(1,TRUNC(L330*(Impostazioni!$B$2/500)*1*M330*INDEX(Impostazioni!$E$23:$E$29,MATCH(H330,Impostazioni!$D$23:$D$29,0))))</f>
        <v/>
      </c>
      <c r="J330" s="9">
        <f>MAX(1,TRUNC(L330*(Impostazioni!$B$2/500)*INDEX(Motore!$A$5:$H$8,MATCH(C330,Motore!$A$5:$A$8,0),8)*M330*INDEX(Impostazioni!$E$23:$E$29,MATCH(H330,Impostazioni!$D$23:$D$29,0))))</f>
        <v/>
      </c>
      <c r="K330" s="2" t="inlineStr">
        <is>
          <t>Nuovo Arrivo (Rotazione)</t>
        </is>
      </c>
      <c r="L330" s="2" t="n">
        <v>8.050000000000001</v>
      </c>
      <c r="M330" s="2" t="n">
        <v>1</v>
      </c>
    </row>
    <row r="331">
      <c r="A331" s="2" t="inlineStr">
        <is>
          <t>Koopmeiners</t>
        </is>
      </c>
      <c r="B331" s="2" t="inlineStr">
        <is>
          <t>Juventus</t>
        </is>
      </c>
      <c r="C331" s="2" t="inlineStr">
        <is>
          <t>C</t>
        </is>
      </c>
      <c r="D331" s="2" t="inlineStr">
        <is>
          <t>C/T</t>
        </is>
      </c>
      <c r="E331" s="2" t="n">
        <v>7</v>
      </c>
      <c r="F331" s="2" t="n">
        <v>1.95</v>
      </c>
      <c r="G331" s="2" t="n">
        <v>0.5</v>
      </c>
      <c r="H331" s="8" t="inlineStr">
        <is>
          <t>Normale</t>
        </is>
      </c>
      <c r="I331" s="2">
        <f>MAX(1,TRUNC(L331*(Impostazioni!$B$2/500)*1*M331*INDEX(Impostazioni!$E$23:$E$29,MATCH(H331,Impostazioni!$D$23:$D$29,0))))</f>
        <v/>
      </c>
      <c r="J331" s="9">
        <f>MAX(1,TRUNC(L331*(Impostazioni!$B$2/500)*INDEX(Motore!$A$5:$H$8,MATCH(C331,Motore!$A$5:$A$8,0),8)*M331*INDEX(Impostazioni!$E$23:$E$29,MATCH(H331,Impostazioni!$D$23:$D$29,0))))</f>
        <v/>
      </c>
      <c r="K331" s="2" t="inlineStr">
        <is>
          <t>Nuovo Arrivo (Rotazione)</t>
        </is>
      </c>
      <c r="L331" s="2" t="n">
        <v>8.050000000000001</v>
      </c>
      <c r="M331" s="2" t="n">
        <v>1</v>
      </c>
    </row>
    <row r="332">
      <c r="A332" s="2" t="inlineStr">
        <is>
          <t>Monteiro J.</t>
        </is>
      </c>
      <c r="B332" s="2" t="inlineStr">
        <is>
          <t>Lecce</t>
        </is>
      </c>
      <c r="C332" s="2" t="inlineStr">
        <is>
          <t>C</t>
        </is>
      </c>
      <c r="D332" s="2" t="inlineStr">
        <is>
          <t>W/A</t>
        </is>
      </c>
      <c r="E332" s="2" t="n">
        <v>7</v>
      </c>
      <c r="F332" s="2" t="n">
        <v>1.15</v>
      </c>
      <c r="G332" s="2" t="n">
        <v>0.5</v>
      </c>
      <c r="H332" s="8" t="inlineStr">
        <is>
          <t>🟡 Ballottaggio</t>
        </is>
      </c>
      <c r="I332" s="2">
        <f>MAX(1,TRUNC(L332*(Impostazioni!$B$2/500)*1*M332*INDEX(Impostazioni!$E$23:$E$29,MATCH(H332,Impostazioni!$D$23:$D$29,0))))</f>
        <v/>
      </c>
      <c r="J332" s="9">
        <f>MAX(1,TRUNC(L332*(Impostazioni!$B$2/500)*INDEX(Motore!$A$5:$H$8,MATCH(C332,Motore!$A$5:$A$8,0),8)*M332*INDEX(Impostazioni!$E$23:$E$29,MATCH(H332,Impostazioni!$D$23:$D$29,0))))</f>
        <v/>
      </c>
      <c r="K332" s="2" t="inlineStr">
        <is>
          <t>Nuovo Arrivo (Rotazione)</t>
        </is>
      </c>
      <c r="L332" s="2" t="n">
        <v>8.050000000000001</v>
      </c>
      <c r="M332" s="2" t="n">
        <v>1</v>
      </c>
    </row>
    <row r="333">
      <c r="A333" s="2" t="inlineStr">
        <is>
          <t>Ndour</t>
        </is>
      </c>
      <c r="B333" s="2" t="inlineStr">
        <is>
          <t>Fiorentina</t>
        </is>
      </c>
      <c r="C333" s="2" t="inlineStr">
        <is>
          <t>C</t>
        </is>
      </c>
      <c r="D333" s="2" t="inlineStr">
        <is>
          <t>C</t>
        </is>
      </c>
      <c r="E333" s="2" t="n">
        <v>7</v>
      </c>
      <c r="F333" s="2" t="n">
        <v>2.05</v>
      </c>
      <c r="G333" s="2" t="n">
        <v>1.15</v>
      </c>
      <c r="H333" s="8" t="inlineStr">
        <is>
          <t>Normale</t>
        </is>
      </c>
      <c r="I333" s="2">
        <f>MAX(1,TRUNC(L333*(Impostazioni!$B$2/500)*1*M333*INDEX(Impostazioni!$E$23:$E$29,MATCH(H333,Impostazioni!$D$23:$D$29,0))))</f>
        <v/>
      </c>
      <c r="J333" s="9">
        <f>MAX(1,TRUNC(L333*(Impostazioni!$B$2/500)*INDEX(Motore!$A$5:$H$8,MATCH(C333,Motore!$A$5:$A$8,0),8)*M333*INDEX(Impostazioni!$E$23:$E$29,MATCH(H333,Impostazioni!$D$23:$D$29,0))))</f>
        <v/>
      </c>
      <c r="K333" s="2" t="inlineStr">
        <is>
          <t>Nuovo Arrivo (Rotazione)</t>
        </is>
      </c>
      <c r="L333" s="2" t="n">
        <v>8.050000000000001</v>
      </c>
      <c r="M333" s="2" t="n">
        <v>1</v>
      </c>
    </row>
    <row r="334">
      <c r="A334" s="2" t="inlineStr">
        <is>
          <t>Pisilli</t>
        </is>
      </c>
      <c r="B334" s="2" t="inlineStr">
        <is>
          <t>Roma</t>
        </is>
      </c>
      <c r="C334" s="2" t="inlineStr">
        <is>
          <t>C</t>
        </is>
      </c>
      <c r="D334" s="2" t="inlineStr">
        <is>
          <t>C</t>
        </is>
      </c>
      <c r="E334" s="2" t="n">
        <v>7</v>
      </c>
      <c r="F334" s="2" t="n">
        <v>2.7</v>
      </c>
      <c r="G334" s="2" t="n">
        <v>0.5</v>
      </c>
      <c r="H334" s="8" t="inlineStr">
        <is>
          <t>Normale</t>
        </is>
      </c>
      <c r="I334" s="2">
        <f>MAX(1,TRUNC(L334*(Impostazioni!$B$2/500)*1*M334*INDEX(Impostazioni!$E$23:$E$29,MATCH(H334,Impostazioni!$D$23:$D$29,0))))</f>
        <v/>
      </c>
      <c r="J334" s="9">
        <f>MAX(1,TRUNC(L334*(Impostazioni!$B$2/500)*INDEX(Motore!$A$5:$H$8,MATCH(C334,Motore!$A$5:$A$8,0),8)*M334*INDEX(Impostazioni!$E$23:$E$29,MATCH(H334,Impostazioni!$D$23:$D$29,0))))</f>
        <v/>
      </c>
      <c r="K334" s="2" t="inlineStr">
        <is>
          <t>Nuovo Arrivo (Rotazione)</t>
        </is>
      </c>
      <c r="L334" s="2" t="n">
        <v>8.050000000000001</v>
      </c>
      <c r="M334" s="2" t="n">
        <v>1</v>
      </c>
    </row>
    <row r="335">
      <c r="A335" s="2" t="inlineStr">
        <is>
          <t>Romano</t>
        </is>
      </c>
      <c r="B335" s="2" t="inlineStr">
        <is>
          <t>Cagliari</t>
        </is>
      </c>
      <c r="C335" s="2" t="inlineStr">
        <is>
          <t>C</t>
        </is>
      </c>
      <c r="D335" s="2" t="inlineStr">
        <is>
          <t>M/C</t>
        </is>
      </c>
      <c r="E335" s="2" t="n">
        <v>7</v>
      </c>
      <c r="F335" s="2" t="n">
        <v>3.3</v>
      </c>
      <c r="G335" s="2" t="n">
        <v>0.5</v>
      </c>
      <c r="H335" s="8" t="inlineStr">
        <is>
          <t>Normale</t>
        </is>
      </c>
      <c r="I335" s="2">
        <f>MAX(1,TRUNC(L335*(Impostazioni!$B$2/500)*1*M335*INDEX(Impostazioni!$E$23:$E$29,MATCH(H335,Impostazioni!$D$23:$D$29,0))))</f>
        <v/>
      </c>
      <c r="J335" s="9">
        <f>MAX(1,TRUNC(L335*(Impostazioni!$B$2/500)*INDEX(Motore!$A$5:$H$8,MATCH(C335,Motore!$A$5:$A$8,0),8)*M335*INDEX(Impostazioni!$E$23:$E$29,MATCH(H335,Impostazioni!$D$23:$D$29,0))))</f>
        <v/>
      </c>
      <c r="K335" s="2" t="inlineStr">
        <is>
          <t>Nuovo Arrivo (Rotazione)</t>
        </is>
      </c>
      <c r="L335" s="2" t="n">
        <v>8.050000000000001</v>
      </c>
      <c r="M335" s="2" t="n">
        <v>1</v>
      </c>
    </row>
    <row r="336">
      <c r="A336" s="2" t="inlineStr">
        <is>
          <t>Rovella</t>
        </is>
      </c>
      <c r="B336" s="2" t="inlineStr">
        <is>
          <t>Lazio</t>
        </is>
      </c>
      <c r="C336" s="2" t="inlineStr">
        <is>
          <t>C</t>
        </is>
      </c>
      <c r="D336" s="2" t="inlineStr">
        <is>
          <t>M/C</t>
        </is>
      </c>
      <c r="E336" s="2" t="n">
        <v>7</v>
      </c>
      <c r="F336" s="2" t="n">
        <v>1.7</v>
      </c>
      <c r="G336" s="2" t="n">
        <v>0.5</v>
      </c>
      <c r="H336" s="8" t="inlineStr">
        <is>
          <t>🔴 Infortunato/Dubbio</t>
        </is>
      </c>
      <c r="I336" s="2">
        <f>MAX(1,TRUNC(L336*(Impostazioni!$B$2/500)*1*M336*INDEX(Impostazioni!$E$23:$E$29,MATCH(H336,Impostazioni!$D$23:$D$29,0))))</f>
        <v/>
      </c>
      <c r="J336" s="9">
        <f>MAX(1,TRUNC(L336*(Impostazioni!$B$2/500)*INDEX(Motore!$A$5:$H$8,MATCH(C336,Motore!$A$5:$A$8,0),8)*M336*INDEX(Impostazioni!$E$23:$E$29,MATCH(H336,Impostazioni!$D$23:$D$29,0))))</f>
        <v/>
      </c>
      <c r="K336" s="2" t="inlineStr">
        <is>
          <t>Nuovo Arrivo (Rotazione)</t>
        </is>
      </c>
      <c r="L336" s="2" t="n">
        <v>8.050000000000001</v>
      </c>
      <c r="M336" s="2" t="n">
        <v>1</v>
      </c>
    </row>
    <row r="337">
      <c r="A337" s="2" t="inlineStr">
        <is>
          <t>Sarr P.</t>
        </is>
      </c>
      <c r="B337" s="2" t="inlineStr">
        <is>
          <t>Juventus</t>
        </is>
      </c>
      <c r="C337" s="2" t="inlineStr">
        <is>
          <t>C</t>
        </is>
      </c>
      <c r="D337" s="2" t="inlineStr">
        <is>
          <t>M/C</t>
        </is>
      </c>
      <c r="E337" s="2" t="n">
        <v>7</v>
      </c>
      <c r="F337" s="2" t="n">
        <v>4.95</v>
      </c>
      <c r="G337" s="2" t="n">
        <v>1.05</v>
      </c>
      <c r="H337" s="8" t="inlineStr">
        <is>
          <t>Normale</t>
        </is>
      </c>
      <c r="I337" s="2">
        <f>MAX(1,TRUNC(L337*(Impostazioni!$B$2/500)*1*M337*INDEX(Impostazioni!$E$23:$E$29,MATCH(H337,Impostazioni!$D$23:$D$29,0))))</f>
        <v/>
      </c>
      <c r="J337" s="9">
        <f>MAX(1,TRUNC(L337*(Impostazioni!$B$2/500)*INDEX(Motore!$A$5:$H$8,MATCH(C337,Motore!$A$5:$A$8,0),8)*M337*INDEX(Impostazioni!$E$23:$E$29,MATCH(H337,Impostazioni!$D$23:$D$29,0))))</f>
        <v/>
      </c>
      <c r="K337" s="2" t="inlineStr">
        <is>
          <t>Nuovo Arrivo (Rotazione)</t>
        </is>
      </c>
      <c r="L337" s="2" t="n">
        <v>8.050000000000001</v>
      </c>
      <c r="M337" s="2" t="n">
        <v>1</v>
      </c>
    </row>
    <row r="338">
      <c r="A338" s="2" t="inlineStr">
        <is>
          <t>Sow</t>
        </is>
      </c>
      <c r="B338" s="2" t="inlineStr">
        <is>
          <t>Genoa</t>
        </is>
      </c>
      <c r="C338" s="2" t="inlineStr">
        <is>
          <t>C</t>
        </is>
      </c>
      <c r="D338" s="2" t="inlineStr">
        <is>
          <t>M/C</t>
        </is>
      </c>
      <c r="E338" s="2" t="n">
        <v>7</v>
      </c>
      <c r="F338" s="2" t="n">
        <v>1.5</v>
      </c>
      <c r="G338" s="2" t="n">
        <v>0.5</v>
      </c>
      <c r="H338" s="8" t="inlineStr">
        <is>
          <t>Normale</t>
        </is>
      </c>
      <c r="I338" s="2">
        <f>MAX(1,TRUNC(L338*(Impostazioni!$B$2/500)*1*M338*INDEX(Impostazioni!$E$23:$E$29,MATCH(H338,Impostazioni!$D$23:$D$29,0))))</f>
        <v/>
      </c>
      <c r="J338" s="9">
        <f>MAX(1,TRUNC(L338*(Impostazioni!$B$2/500)*INDEX(Motore!$A$5:$H$8,MATCH(C338,Motore!$A$5:$A$8,0),8)*M338*INDEX(Impostazioni!$E$23:$E$29,MATCH(H338,Impostazioni!$D$23:$D$29,0))))</f>
        <v/>
      </c>
      <c r="K338" s="2" t="inlineStr">
        <is>
          <t>Nuovo Arrivo (Rotazione)</t>
        </is>
      </c>
      <c r="L338" s="2" t="n">
        <v>8.050000000000001</v>
      </c>
      <c r="M338" s="2" t="n">
        <v>1</v>
      </c>
    </row>
    <row r="339">
      <c r="A339" s="2" t="inlineStr">
        <is>
          <t>Unai Gomez</t>
        </is>
      </c>
      <c r="B339" s="2" t="inlineStr">
        <is>
          <t>Udinese</t>
        </is>
      </c>
      <c r="C339" s="2" t="inlineStr">
        <is>
          <t>C</t>
        </is>
      </c>
      <c r="D339" s="2" t="inlineStr">
        <is>
          <t>T</t>
        </is>
      </c>
      <c r="E339" s="2" t="n">
        <v>7</v>
      </c>
      <c r="F339" s="2" t="n">
        <v>1.2</v>
      </c>
      <c r="G339" s="2" t="n">
        <v>0.5</v>
      </c>
      <c r="H339" s="8" t="inlineStr">
        <is>
          <t>Normale</t>
        </is>
      </c>
      <c r="I339" s="2">
        <f>MAX(1,TRUNC(L339*(Impostazioni!$B$2/500)*1*M339*INDEX(Impostazioni!$E$23:$E$29,MATCH(H339,Impostazioni!$D$23:$D$29,0))))</f>
        <v/>
      </c>
      <c r="J339" s="9">
        <f>MAX(1,TRUNC(L339*(Impostazioni!$B$2/500)*INDEX(Motore!$A$5:$H$8,MATCH(C339,Motore!$A$5:$A$8,0),8)*M339*INDEX(Impostazioni!$E$23:$E$29,MATCH(H339,Impostazioni!$D$23:$D$29,0))))</f>
        <v/>
      </c>
      <c r="K339" s="2" t="inlineStr">
        <is>
          <t>Nuovo Arrivo (Rotazione)</t>
        </is>
      </c>
      <c r="L339" s="2" t="n">
        <v>8.050000000000001</v>
      </c>
      <c r="M339" s="2" t="n">
        <v>1</v>
      </c>
    </row>
    <row r="340">
      <c r="A340" s="2" t="inlineStr">
        <is>
          <t>Zalewski</t>
        </is>
      </c>
      <c r="B340" s="2" t="inlineStr">
        <is>
          <t>Atalanta</t>
        </is>
      </c>
      <c r="C340" s="2" t="inlineStr">
        <is>
          <t>C</t>
        </is>
      </c>
      <c r="D340" s="2" t="inlineStr">
        <is>
          <t>W</t>
        </is>
      </c>
      <c r="E340" s="2" t="n">
        <v>7</v>
      </c>
      <c r="F340" s="2" t="n">
        <v>1.8</v>
      </c>
      <c r="G340" s="2" t="n">
        <v>0.5</v>
      </c>
      <c r="H340" s="8" t="inlineStr">
        <is>
          <t>Normale</t>
        </is>
      </c>
      <c r="I340" s="2">
        <f>MAX(1,TRUNC(L340*(Impostazioni!$B$2/500)*1*M340*INDEX(Impostazioni!$E$23:$E$29,MATCH(H340,Impostazioni!$D$23:$D$29,0))))</f>
        <v/>
      </c>
      <c r="J340" s="9">
        <f>MAX(1,TRUNC(L340*(Impostazioni!$B$2/500)*INDEX(Motore!$A$5:$H$8,MATCH(C340,Motore!$A$5:$A$8,0),8)*M340*INDEX(Impostazioni!$E$23:$E$29,MATCH(H340,Impostazioni!$D$23:$D$29,0))))</f>
        <v/>
      </c>
      <c r="K340" s="2" t="inlineStr">
        <is>
          <t>Nuovo Arrivo (Rotazione)</t>
        </is>
      </c>
      <c r="L340" s="2" t="n">
        <v>8.050000000000001</v>
      </c>
      <c r="M340" s="2" t="n">
        <v>1</v>
      </c>
    </row>
    <row r="341">
      <c r="A341" s="2" t="inlineStr">
        <is>
          <t>Adzic</t>
        </is>
      </c>
      <c r="B341" s="2" t="inlineStr">
        <is>
          <t>Sassuolo</t>
        </is>
      </c>
      <c r="C341" s="2" t="inlineStr">
        <is>
          <t>C</t>
        </is>
      </c>
      <c r="D341" s="2" t="inlineStr">
        <is>
          <t>C/T</t>
        </is>
      </c>
      <c r="E341" s="2" t="n">
        <v>6</v>
      </c>
      <c r="F341" s="2" t="n">
        <v>3.5</v>
      </c>
      <c r="G341" s="2" t="n">
        <v>0.5</v>
      </c>
      <c r="H341" s="8" t="inlineStr">
        <is>
          <t>Normale</t>
        </is>
      </c>
      <c r="I341" s="2">
        <f>MAX(1,TRUNC(L341*(Impostazioni!$B$2/500)*1*M341*INDEX(Impostazioni!$E$23:$E$29,MATCH(H341,Impostazioni!$D$23:$D$29,0))))</f>
        <v/>
      </c>
      <c r="J341" s="9">
        <f>MAX(1,TRUNC(L341*(Impostazioni!$B$2/500)*INDEX(Motore!$A$5:$H$8,MATCH(C341,Motore!$A$5:$A$8,0),8)*M341*INDEX(Impostazioni!$E$23:$E$29,MATCH(H341,Impostazioni!$D$23:$D$29,0))))</f>
        <v/>
      </c>
      <c r="K341" s="2" t="inlineStr">
        <is>
          <t>Nuovo Arrivo (Rotazione)</t>
        </is>
      </c>
      <c r="L341" s="2" t="n">
        <v>6.9</v>
      </c>
      <c r="M341" s="2" t="n">
        <v>1</v>
      </c>
    </row>
    <row r="342">
      <c r="A342" s="2" t="inlineStr">
        <is>
          <t>Bakola</t>
        </is>
      </c>
      <c r="B342" s="2" t="inlineStr">
        <is>
          <t>Sassuolo</t>
        </is>
      </c>
      <c r="C342" s="2" t="inlineStr">
        <is>
          <t>C</t>
        </is>
      </c>
      <c r="D342" s="2" t="inlineStr">
        <is>
          <t>C/T</t>
        </is>
      </c>
      <c r="E342" s="2" t="n">
        <v>6</v>
      </c>
      <c r="F342" s="2" t="n">
        <v>1.8</v>
      </c>
      <c r="G342" s="2" t="n">
        <v>0.5</v>
      </c>
      <c r="H342" s="8" t="inlineStr">
        <is>
          <t>Normale</t>
        </is>
      </c>
      <c r="I342" s="2">
        <f>MAX(1,TRUNC(L342*(Impostazioni!$B$2/500)*1*M342*INDEX(Impostazioni!$E$23:$E$29,MATCH(H342,Impostazioni!$D$23:$D$29,0))))</f>
        <v/>
      </c>
      <c r="J342" s="9">
        <f>MAX(1,TRUNC(L342*(Impostazioni!$B$2/500)*INDEX(Motore!$A$5:$H$8,MATCH(C342,Motore!$A$5:$A$8,0),8)*M342*INDEX(Impostazioni!$E$23:$E$29,MATCH(H342,Impostazioni!$D$23:$D$29,0))))</f>
        <v/>
      </c>
      <c r="K342" s="2" t="inlineStr">
        <is>
          <t>Nuovo Arrivo (Rotazione)</t>
        </is>
      </c>
      <c r="L342" s="2" t="n">
        <v>6.9</v>
      </c>
      <c r="M342" s="2" t="n">
        <v>1</v>
      </c>
    </row>
    <row r="343">
      <c r="A343" s="2" t="inlineStr">
        <is>
          <t>Basic</t>
        </is>
      </c>
      <c r="B343" s="2" t="inlineStr">
        <is>
          <t>Venezia</t>
        </is>
      </c>
      <c r="C343" s="2" t="inlineStr">
        <is>
          <t>C</t>
        </is>
      </c>
      <c r="D343" s="2" t="inlineStr">
        <is>
          <t>M/C</t>
        </is>
      </c>
      <c r="E343" s="2" t="n">
        <v>6</v>
      </c>
      <c r="F343" s="2" t="n">
        <v>1.55</v>
      </c>
      <c r="G343" s="2" t="n">
        <v>0.5</v>
      </c>
      <c r="H343" s="8" t="inlineStr">
        <is>
          <t>🟡 Ballottaggio</t>
        </is>
      </c>
      <c r="I343" s="2">
        <f>MAX(1,TRUNC(L343*(Impostazioni!$B$2/500)*1*M343*INDEX(Impostazioni!$E$23:$E$29,MATCH(H343,Impostazioni!$D$23:$D$29,0))))</f>
        <v/>
      </c>
      <c r="J343" s="9">
        <f>MAX(1,TRUNC(L343*(Impostazioni!$B$2/500)*INDEX(Motore!$A$5:$H$8,MATCH(C343,Motore!$A$5:$A$8,0),8)*M343*INDEX(Impostazioni!$E$23:$E$29,MATCH(H343,Impostazioni!$D$23:$D$29,0))))</f>
        <v/>
      </c>
      <c r="K343" s="2" t="inlineStr">
        <is>
          <t>Nuovo Arrivo (Rotazione)</t>
        </is>
      </c>
      <c r="L343" s="2" t="n">
        <v>6.9</v>
      </c>
      <c r="M343" s="2" t="n">
        <v>1</v>
      </c>
    </row>
    <row r="344">
      <c r="A344" s="2" t="inlineStr">
        <is>
          <t>Braganca</t>
        </is>
      </c>
      <c r="B344" s="2" t="inlineStr">
        <is>
          <t>Torino</t>
        </is>
      </c>
      <c r="C344" s="2" t="inlineStr">
        <is>
          <t>C</t>
        </is>
      </c>
      <c r="D344" s="2" t="inlineStr">
        <is>
          <t>C</t>
        </is>
      </c>
      <c r="E344" s="2" t="n">
        <v>6</v>
      </c>
      <c r="F344" s="2" t="n">
        <v>1.05</v>
      </c>
      <c r="G344" s="2" t="n">
        <v>0.5</v>
      </c>
      <c r="H344" s="8" t="inlineStr">
        <is>
          <t>🟡 Ballottaggio</t>
        </is>
      </c>
      <c r="I344" s="2">
        <f>MAX(1,TRUNC(L344*(Impostazioni!$B$2/500)*1*M344*INDEX(Impostazioni!$E$23:$E$29,MATCH(H344,Impostazioni!$D$23:$D$29,0))))</f>
        <v/>
      </c>
      <c r="J344" s="9">
        <f>MAX(1,TRUNC(L344*(Impostazioni!$B$2/500)*INDEX(Motore!$A$5:$H$8,MATCH(C344,Motore!$A$5:$A$8,0),8)*M344*INDEX(Impostazioni!$E$23:$E$29,MATCH(H344,Impostazioni!$D$23:$D$29,0))))</f>
        <v/>
      </c>
      <c r="K344" s="2" t="inlineStr">
        <is>
          <t>Nuovo Arrivo (Rotazione)</t>
        </is>
      </c>
      <c r="L344" s="2" t="n">
        <v>6.9</v>
      </c>
      <c r="M344" s="2" t="n">
        <v>1</v>
      </c>
    </row>
    <row r="345">
      <c r="A345" s="2" t="inlineStr">
        <is>
          <t>Cacciamani</t>
        </is>
      </c>
      <c r="B345" s="2" t="inlineStr">
        <is>
          <t>Torino</t>
        </is>
      </c>
      <c r="C345" s="2" t="inlineStr">
        <is>
          <t>C</t>
        </is>
      </c>
      <c r="D345" s="2" t="inlineStr">
        <is>
          <t>E/W</t>
        </is>
      </c>
      <c r="E345" s="2" t="n">
        <v>6</v>
      </c>
      <c r="F345" s="2" t="n">
        <v>5.95</v>
      </c>
      <c r="G345" s="2" t="n">
        <v>0.5</v>
      </c>
      <c r="H345" s="8" t="inlineStr">
        <is>
          <t>Normale</t>
        </is>
      </c>
      <c r="I345" s="2">
        <f>MAX(1,TRUNC(L345*(Impostazioni!$B$2/500)*1*M345*INDEX(Impostazioni!$E$23:$E$29,MATCH(H345,Impostazioni!$D$23:$D$29,0))))</f>
        <v/>
      </c>
      <c r="J345" s="9">
        <f>MAX(1,TRUNC(L345*(Impostazioni!$B$2/500)*INDEX(Motore!$A$5:$H$8,MATCH(C345,Motore!$A$5:$A$8,0),8)*M345*INDEX(Impostazioni!$E$23:$E$29,MATCH(H345,Impostazioni!$D$23:$D$29,0))))</f>
        <v/>
      </c>
      <c r="K345" s="2" t="inlineStr">
        <is>
          <t>Nuovo Arrivo (Rotazione)</t>
        </is>
      </c>
      <c r="L345" s="2" t="n">
        <v>6.9</v>
      </c>
      <c r="M345" s="2" t="n">
        <v>1</v>
      </c>
    </row>
    <row r="346">
      <c r="A346" s="2" t="inlineStr">
        <is>
          <t>Caqueret</t>
        </is>
      </c>
      <c r="B346" s="2" t="inlineStr">
        <is>
          <t>Como</t>
        </is>
      </c>
      <c r="C346" s="2" t="inlineStr">
        <is>
          <t>C</t>
        </is>
      </c>
      <c r="D346" s="2" t="inlineStr">
        <is>
          <t>C/T</t>
        </is>
      </c>
      <c r="E346" s="2" t="n">
        <v>6</v>
      </c>
      <c r="F346" s="2" t="n">
        <v>1.25</v>
      </c>
      <c r="G346" s="2" t="n">
        <v>0.5</v>
      </c>
      <c r="H346" s="8" t="inlineStr">
        <is>
          <t>🪑 Riserva Fissa (da fasciaFc)</t>
        </is>
      </c>
      <c r="I346" s="2">
        <f>MAX(1,TRUNC(L346*(Impostazioni!$B$2/500)*1*M346*INDEX(Impostazioni!$E$23:$E$29,MATCH(H346,Impostazioni!$D$23:$D$29,0))))</f>
        <v/>
      </c>
      <c r="J346" s="9">
        <f>MAX(1,TRUNC(L346*(Impostazioni!$B$2/500)*INDEX(Motore!$A$5:$H$8,MATCH(C346,Motore!$A$5:$A$8,0),8)*M346*INDEX(Impostazioni!$E$23:$E$29,MATCH(H346,Impostazioni!$D$23:$D$29,0))))</f>
        <v/>
      </c>
      <c r="K346" s="2" t="inlineStr">
        <is>
          <t>Nuovo Arrivo (Rotazione)</t>
        </is>
      </c>
      <c r="L346" s="2" t="n">
        <v>6.9</v>
      </c>
      <c r="M346" s="2" t="n">
        <v>1</v>
      </c>
    </row>
    <row r="347">
      <c r="A347" s="2" t="inlineStr">
        <is>
          <t>Ellertsson</t>
        </is>
      </c>
      <c r="B347" s="2" t="inlineStr">
        <is>
          <t>Genoa</t>
        </is>
      </c>
      <c r="C347" s="2" t="inlineStr">
        <is>
          <t>C</t>
        </is>
      </c>
      <c r="D347" s="2" t="inlineStr">
        <is>
          <t>E/C</t>
        </is>
      </c>
      <c r="E347" s="2" t="n">
        <v>6</v>
      </c>
      <c r="F347" s="2" t="n">
        <v>1.5</v>
      </c>
      <c r="G347" s="2" t="n">
        <v>0.5</v>
      </c>
      <c r="H347" s="8" t="inlineStr">
        <is>
          <t>🟡 Ballottaggio</t>
        </is>
      </c>
      <c r="I347" s="2">
        <f>MAX(1,TRUNC(L347*(Impostazioni!$B$2/500)*1*M347*INDEX(Impostazioni!$E$23:$E$29,MATCH(H347,Impostazioni!$D$23:$D$29,0))))</f>
        <v/>
      </c>
      <c r="J347" s="9">
        <f>MAX(1,TRUNC(L347*(Impostazioni!$B$2/500)*INDEX(Motore!$A$5:$H$8,MATCH(C347,Motore!$A$5:$A$8,0),8)*M347*INDEX(Impostazioni!$E$23:$E$29,MATCH(H347,Impostazioni!$D$23:$D$29,0))))</f>
        <v/>
      </c>
      <c r="K347" s="2" t="inlineStr">
        <is>
          <t>Nuovo Arrivo (Rotazione)</t>
        </is>
      </c>
      <c r="L347" s="2" t="n">
        <v>6.9</v>
      </c>
      <c r="M347" s="2" t="n">
        <v>1</v>
      </c>
    </row>
    <row r="348">
      <c r="A348" s="2" t="inlineStr">
        <is>
          <t>Fazzini</t>
        </is>
      </c>
      <c r="B348" s="2" t="inlineStr">
        <is>
          <t>Cagliari</t>
        </is>
      </c>
      <c r="C348" s="2" t="inlineStr">
        <is>
          <t>C</t>
        </is>
      </c>
      <c r="D348" s="2" t="inlineStr">
        <is>
          <t>C/T</t>
        </is>
      </c>
      <c r="E348" s="2" t="n">
        <v>6</v>
      </c>
      <c r="F348" s="2" t="n">
        <v>2.8</v>
      </c>
      <c r="G348" s="2" t="n">
        <v>0.5</v>
      </c>
      <c r="H348" s="8" t="inlineStr">
        <is>
          <t>Normale</t>
        </is>
      </c>
      <c r="I348" s="2">
        <f>MAX(1,TRUNC(L348*(Impostazioni!$B$2/500)*1*M348*INDEX(Impostazioni!$E$23:$E$29,MATCH(H348,Impostazioni!$D$23:$D$29,0))))</f>
        <v/>
      </c>
      <c r="J348" s="9">
        <f>MAX(1,TRUNC(L348*(Impostazioni!$B$2/500)*INDEX(Motore!$A$5:$H$8,MATCH(C348,Motore!$A$5:$A$8,0),8)*M348*INDEX(Impostazioni!$E$23:$E$29,MATCH(H348,Impostazioni!$D$23:$D$29,0))))</f>
        <v/>
      </c>
      <c r="K348" s="2" t="inlineStr">
        <is>
          <t>Nuovo Arrivo (Rotazione)</t>
        </is>
      </c>
      <c r="L348" s="2" t="n">
        <v>6.9</v>
      </c>
      <c r="M348" s="2" t="n">
        <v>1</v>
      </c>
    </row>
    <row r="349">
      <c r="A349" s="2" t="inlineStr">
        <is>
          <t>Liberali</t>
        </is>
      </c>
      <c r="B349" s="2" t="inlineStr">
        <is>
          <t>Como</t>
        </is>
      </c>
      <c r="C349" s="2" t="inlineStr">
        <is>
          <t>C</t>
        </is>
      </c>
      <c r="D349" s="2" t="inlineStr">
        <is>
          <t>T</t>
        </is>
      </c>
      <c r="E349" s="2" t="n">
        <v>6</v>
      </c>
      <c r="F349" s="2" t="n">
        <v>1.9</v>
      </c>
      <c r="G349" s="2" t="n">
        <v>0.5</v>
      </c>
      <c r="H349" s="8" t="inlineStr">
        <is>
          <t>Normale</t>
        </is>
      </c>
      <c r="I349" s="2">
        <f>MAX(1,TRUNC(L349*(Impostazioni!$B$2/500)*1*M349*INDEX(Impostazioni!$E$23:$E$29,MATCH(H349,Impostazioni!$D$23:$D$29,0))))</f>
        <v/>
      </c>
      <c r="J349" s="9">
        <f>MAX(1,TRUNC(L349*(Impostazioni!$B$2/500)*INDEX(Motore!$A$5:$H$8,MATCH(C349,Motore!$A$5:$A$8,0),8)*M349*INDEX(Impostazioni!$E$23:$E$29,MATCH(H349,Impostazioni!$D$23:$D$29,0))))</f>
        <v/>
      </c>
      <c r="K349" s="2" t="inlineStr">
        <is>
          <t>Nuovo Arrivo (Rotazione)</t>
        </is>
      </c>
      <c r="L349" s="2" t="n">
        <v>6.9</v>
      </c>
      <c r="M349" s="2" t="n">
        <v>1</v>
      </c>
    </row>
    <row r="350">
      <c r="A350" s="2" t="inlineStr">
        <is>
          <t>Matic</t>
        </is>
      </c>
      <c r="B350" s="2" t="inlineStr">
        <is>
          <t>Sassuolo</t>
        </is>
      </c>
      <c r="C350" s="2" t="inlineStr">
        <is>
          <t>C</t>
        </is>
      </c>
      <c r="D350" s="2" t="inlineStr">
        <is>
          <t>M/C</t>
        </is>
      </c>
      <c r="E350" s="2" t="n">
        <v>6</v>
      </c>
      <c r="F350" s="2" t="n">
        <v>1.55</v>
      </c>
      <c r="G350" s="2" t="n">
        <v>0.5</v>
      </c>
      <c r="H350" s="8" t="inlineStr">
        <is>
          <t>Normale</t>
        </is>
      </c>
      <c r="I350" s="2">
        <f>MAX(1,TRUNC(L350*(Impostazioni!$B$2/500)*1*M350*INDEX(Impostazioni!$E$23:$E$29,MATCH(H350,Impostazioni!$D$23:$D$29,0))))</f>
        <v/>
      </c>
      <c r="J350" s="9">
        <f>MAX(1,TRUNC(L350*(Impostazioni!$B$2/500)*INDEX(Motore!$A$5:$H$8,MATCH(C350,Motore!$A$5:$A$8,0),8)*M350*INDEX(Impostazioni!$E$23:$E$29,MATCH(H350,Impostazioni!$D$23:$D$29,0))))</f>
        <v/>
      </c>
      <c r="K350" s="2" t="inlineStr">
        <is>
          <t>Nuovo Arrivo (Rotazione)</t>
        </is>
      </c>
      <c r="L350" s="2" t="n">
        <v>6.9</v>
      </c>
      <c r="M350" s="2" t="n">
        <v>1</v>
      </c>
    </row>
    <row r="351">
      <c r="A351" s="2" t="inlineStr">
        <is>
          <t>Milla</t>
        </is>
      </c>
      <c r="B351" s="2" t="inlineStr">
        <is>
          <t>Como</t>
        </is>
      </c>
      <c r="C351" s="2" t="inlineStr">
        <is>
          <t>C</t>
        </is>
      </c>
      <c r="D351" s="2" t="inlineStr">
        <is>
          <t>M/C</t>
        </is>
      </c>
      <c r="E351" s="2" t="n">
        <v>6</v>
      </c>
      <c r="F351" s="2" t="n">
        <v>7.95</v>
      </c>
      <c r="G351" s="2" t="n">
        <v>0.5</v>
      </c>
      <c r="H351" s="8" t="inlineStr">
        <is>
          <t>🟡 Ballottaggio</t>
        </is>
      </c>
      <c r="I351" s="2">
        <f>MAX(1,TRUNC(L351*(Impostazioni!$B$2/500)*1*M351*INDEX(Impostazioni!$E$23:$E$29,MATCH(H351,Impostazioni!$D$23:$D$29,0))))</f>
        <v/>
      </c>
      <c r="J351" s="9">
        <f>MAX(1,TRUNC(L351*(Impostazioni!$B$2/500)*INDEX(Motore!$A$5:$H$8,MATCH(C351,Motore!$A$5:$A$8,0),8)*M351*INDEX(Impostazioni!$E$23:$E$29,MATCH(H351,Impostazioni!$D$23:$D$29,0))))</f>
        <v/>
      </c>
      <c r="K351" s="2" t="inlineStr">
        <is>
          <t>Nuovo Arrivo (Rotazione)</t>
        </is>
      </c>
      <c r="L351" s="2" t="n">
        <v>6.9</v>
      </c>
      <c r="M351" s="2" t="n">
        <v>1</v>
      </c>
    </row>
    <row r="352">
      <c r="A352" s="2" t="inlineStr">
        <is>
          <t>Nicolussi Caviglia</t>
        </is>
      </c>
      <c r="B352" s="2" t="inlineStr">
        <is>
          <t>Parma</t>
        </is>
      </c>
      <c r="C352" s="2" t="inlineStr">
        <is>
          <t>C</t>
        </is>
      </c>
      <c r="D352" s="2" t="inlineStr">
        <is>
          <t>M/C</t>
        </is>
      </c>
      <c r="E352" s="2" t="n">
        <v>6</v>
      </c>
      <c r="F352" s="2" t="n">
        <v>1.2</v>
      </c>
      <c r="G352" s="2" t="n">
        <v>0.5</v>
      </c>
      <c r="H352" s="8" t="inlineStr">
        <is>
          <t>🔴 Infortunato/Dubbio</t>
        </is>
      </c>
      <c r="I352" s="2">
        <f>MAX(1,TRUNC(L352*(Impostazioni!$B$2/500)*1*M352*INDEX(Impostazioni!$E$23:$E$29,MATCH(H352,Impostazioni!$D$23:$D$29,0))))</f>
        <v/>
      </c>
      <c r="J352" s="9">
        <f>MAX(1,TRUNC(L352*(Impostazioni!$B$2/500)*INDEX(Motore!$A$5:$H$8,MATCH(C352,Motore!$A$5:$A$8,0),8)*M352*INDEX(Impostazioni!$E$23:$E$29,MATCH(H352,Impostazioni!$D$23:$D$29,0))))</f>
        <v/>
      </c>
      <c r="K352" s="2" t="inlineStr">
        <is>
          <t>Nuovo Arrivo (Rotazione)</t>
        </is>
      </c>
      <c r="L352" s="2" t="n">
        <v>6.9</v>
      </c>
      <c r="M352" s="2" t="n">
        <v>1</v>
      </c>
    </row>
    <row r="353">
      <c r="A353" s="2" t="inlineStr">
        <is>
          <t>Oristanio</t>
        </is>
      </c>
      <c r="B353" s="2" t="inlineStr">
        <is>
          <t>Torino</t>
        </is>
      </c>
      <c r="C353" s="2" t="inlineStr">
        <is>
          <t>C</t>
        </is>
      </c>
      <c r="D353" s="2" t="inlineStr">
        <is>
          <t>W/T</t>
        </is>
      </c>
      <c r="E353" s="2" t="n">
        <v>6</v>
      </c>
      <c r="F353" s="2" t="n">
        <v>0.9</v>
      </c>
      <c r="G353" s="2" t="n">
        <v>0.5</v>
      </c>
      <c r="H353" s="8" t="inlineStr">
        <is>
          <t>Normale</t>
        </is>
      </c>
      <c r="I353" s="2">
        <f>MAX(1,TRUNC(L353*(Impostazioni!$B$2/500)*1*M353*INDEX(Impostazioni!$E$23:$E$29,MATCH(H353,Impostazioni!$D$23:$D$29,0))))</f>
        <v/>
      </c>
      <c r="J353" s="9">
        <f>MAX(1,TRUNC(L353*(Impostazioni!$B$2/500)*INDEX(Motore!$A$5:$H$8,MATCH(C353,Motore!$A$5:$A$8,0),8)*M353*INDEX(Impostazioni!$E$23:$E$29,MATCH(H353,Impostazioni!$D$23:$D$29,0))))</f>
        <v/>
      </c>
      <c r="K353" s="2" t="inlineStr">
        <is>
          <t>Nuovo Arrivo (Rotazione)</t>
        </is>
      </c>
      <c r="L353" s="2" t="n">
        <v>6.9</v>
      </c>
      <c r="M353" s="2" t="n">
        <v>1</v>
      </c>
    </row>
    <row r="354">
      <c r="A354" s="2" t="inlineStr">
        <is>
          <t>Oulai</t>
        </is>
      </c>
      <c r="B354" s="2" t="inlineStr">
        <is>
          <t>Fiorentina</t>
        </is>
      </c>
      <c r="C354" s="2" t="inlineStr">
        <is>
          <t>C</t>
        </is>
      </c>
      <c r="D354" s="2" t="inlineStr">
        <is>
          <t>M/C</t>
        </is>
      </c>
      <c r="E354" s="2" t="n">
        <v>6</v>
      </c>
      <c r="F354" s="2" t="n">
        <v>2.45</v>
      </c>
      <c r="G354" s="2" t="n">
        <v>0.5</v>
      </c>
      <c r="H354" s="8" t="inlineStr">
        <is>
          <t>🟡 Ballottaggio</t>
        </is>
      </c>
      <c r="I354" s="2">
        <f>MAX(1,TRUNC(L354*(Impostazioni!$B$2/500)*1*M354*INDEX(Impostazioni!$E$23:$E$29,MATCH(H354,Impostazioni!$D$23:$D$29,0))))</f>
        <v/>
      </c>
      <c r="J354" s="9">
        <f>MAX(1,TRUNC(L354*(Impostazioni!$B$2/500)*INDEX(Motore!$A$5:$H$8,MATCH(C354,Motore!$A$5:$A$8,0),8)*M354*INDEX(Impostazioni!$E$23:$E$29,MATCH(H354,Impostazioni!$D$23:$D$29,0))))</f>
        <v/>
      </c>
      <c r="K354" s="2" t="inlineStr">
        <is>
          <t>Nuovo Arrivo (Rotazione)</t>
        </is>
      </c>
      <c r="L354" s="2" t="n">
        <v>6.9</v>
      </c>
      <c r="M354" s="2" t="n">
        <v>1</v>
      </c>
    </row>
    <row r="355">
      <c r="A355" s="2" t="inlineStr">
        <is>
          <t>Pessina</t>
        </is>
      </c>
      <c r="B355" s="2" t="inlineStr">
        <is>
          <t>Monza</t>
        </is>
      </c>
      <c r="C355" s="2" t="inlineStr">
        <is>
          <t>C</t>
        </is>
      </c>
      <c r="D355" s="2" t="inlineStr">
        <is>
          <t>M/C</t>
        </is>
      </c>
      <c r="E355" s="2" t="n">
        <v>6</v>
      </c>
      <c r="F355" s="2" t="n">
        <v>1.2</v>
      </c>
      <c r="G355" s="2" t="n">
        <v>0.5</v>
      </c>
      <c r="H355" s="8" t="inlineStr">
        <is>
          <t>🔴 Infortunato/Dubbio</t>
        </is>
      </c>
      <c r="I355" s="2">
        <f>MAX(1,TRUNC(L355*(Impostazioni!$B$2/500)*1*M355*INDEX(Impostazioni!$E$23:$E$29,MATCH(H355,Impostazioni!$D$23:$D$29,0))))</f>
        <v/>
      </c>
      <c r="J355" s="9">
        <f>MAX(1,TRUNC(L355*(Impostazioni!$B$2/500)*INDEX(Motore!$A$5:$H$8,MATCH(C355,Motore!$A$5:$A$8,0),8)*M355*INDEX(Impostazioni!$E$23:$E$29,MATCH(H355,Impostazioni!$D$23:$D$29,0))))</f>
        <v/>
      </c>
      <c r="K355" s="2" t="inlineStr">
        <is>
          <t>Nuovo Arrivo (Rotazione)</t>
        </is>
      </c>
      <c r="L355" s="2" t="n">
        <v>6.9</v>
      </c>
      <c r="M355" s="2" t="n">
        <v>1</v>
      </c>
    </row>
    <row r="356">
      <c r="A356" s="2" t="inlineStr">
        <is>
          <t>Pierotti</t>
        </is>
      </c>
      <c r="B356" s="2" t="inlineStr">
        <is>
          <t>Lecce</t>
        </is>
      </c>
      <c r="C356" s="2" t="inlineStr">
        <is>
          <t>C</t>
        </is>
      </c>
      <c r="D356" s="2" t="inlineStr">
        <is>
          <t>W</t>
        </is>
      </c>
      <c r="E356" s="2" t="n">
        <v>6</v>
      </c>
      <c r="F356" s="2" t="n">
        <v>0.95</v>
      </c>
      <c r="G356" s="2" t="n">
        <v>0.5</v>
      </c>
      <c r="H356" s="8" t="inlineStr">
        <is>
          <t>Normale</t>
        </is>
      </c>
      <c r="I356" s="2">
        <f>MAX(1,TRUNC(L356*(Impostazioni!$B$2/500)*1*M356*INDEX(Impostazioni!$E$23:$E$29,MATCH(H356,Impostazioni!$D$23:$D$29,0))))</f>
        <v/>
      </c>
      <c r="J356" s="9">
        <f>MAX(1,TRUNC(L356*(Impostazioni!$B$2/500)*INDEX(Motore!$A$5:$H$8,MATCH(C356,Motore!$A$5:$A$8,0),8)*M356*INDEX(Impostazioni!$E$23:$E$29,MATCH(H356,Impostazioni!$D$23:$D$29,0))))</f>
        <v/>
      </c>
      <c r="K356" s="2" t="inlineStr">
        <is>
          <t>Nuovo Arrivo (Rotazione)</t>
        </is>
      </c>
      <c r="L356" s="2" t="n">
        <v>6.9</v>
      </c>
      <c r="M356" s="2" t="n">
        <v>1</v>
      </c>
    </row>
    <row r="357">
      <c r="A357" s="2" t="inlineStr">
        <is>
          <t>Piotrowski</t>
        </is>
      </c>
      <c r="B357" s="2" t="inlineStr">
        <is>
          <t>Udinese</t>
        </is>
      </c>
      <c r="C357" s="2" t="inlineStr">
        <is>
          <t>C</t>
        </is>
      </c>
      <c r="D357" s="2" t="inlineStr">
        <is>
          <t>M/C</t>
        </is>
      </c>
      <c r="E357" s="2" t="n">
        <v>6</v>
      </c>
      <c r="F357" s="2" t="n">
        <v>2</v>
      </c>
      <c r="G357" s="2" t="n">
        <v>0.5</v>
      </c>
      <c r="H357" s="8" t="inlineStr">
        <is>
          <t>🟡 Ballottaggio</t>
        </is>
      </c>
      <c r="I357" s="2">
        <f>MAX(1,TRUNC(L357*(Impostazioni!$B$2/500)*1*M357*INDEX(Impostazioni!$E$23:$E$29,MATCH(H357,Impostazioni!$D$23:$D$29,0))))</f>
        <v/>
      </c>
      <c r="J357" s="9">
        <f>MAX(1,TRUNC(L357*(Impostazioni!$B$2/500)*INDEX(Motore!$A$5:$H$8,MATCH(C357,Motore!$A$5:$A$8,0),8)*M357*INDEX(Impostazioni!$E$23:$E$29,MATCH(H357,Impostazioni!$D$23:$D$29,0))))</f>
        <v/>
      </c>
      <c r="K357" s="2" t="inlineStr">
        <is>
          <t>Nuovo Arrivo (Rotazione)</t>
        </is>
      </c>
      <c r="L357" s="2" t="n">
        <v>6.9</v>
      </c>
      <c r="M357" s="2" t="n">
        <v>1</v>
      </c>
    </row>
    <row r="358">
      <c r="A358" s="2" t="inlineStr">
        <is>
          <t>Pobega</t>
        </is>
      </c>
      <c r="B358" s="2" t="inlineStr">
        <is>
          <t>Bologna</t>
        </is>
      </c>
      <c r="C358" s="2" t="inlineStr">
        <is>
          <t>C</t>
        </is>
      </c>
      <c r="D358" s="2" t="inlineStr">
        <is>
          <t>M/C</t>
        </is>
      </c>
      <c r="E358" s="2" t="n">
        <v>6</v>
      </c>
      <c r="F358" s="2" t="n">
        <v>1.25</v>
      </c>
      <c r="G358" s="2" t="n">
        <v>0.5</v>
      </c>
      <c r="H358" s="8" t="inlineStr">
        <is>
          <t>Normale</t>
        </is>
      </c>
      <c r="I358" s="2">
        <f>MAX(1,TRUNC(L358*(Impostazioni!$B$2/500)*1*M358*INDEX(Impostazioni!$E$23:$E$29,MATCH(H358,Impostazioni!$D$23:$D$29,0))))</f>
        <v/>
      </c>
      <c r="J358" s="9">
        <f>MAX(1,TRUNC(L358*(Impostazioni!$B$2/500)*INDEX(Motore!$A$5:$H$8,MATCH(C358,Motore!$A$5:$A$8,0),8)*M358*INDEX(Impostazioni!$E$23:$E$29,MATCH(H358,Impostazioni!$D$23:$D$29,0))))</f>
        <v/>
      </c>
      <c r="K358" s="2" t="inlineStr">
        <is>
          <t>Nuovo Arrivo (Rotazione)</t>
        </is>
      </c>
      <c r="L358" s="2" t="n">
        <v>6.9</v>
      </c>
      <c r="M358" s="2" t="n">
        <v>1</v>
      </c>
    </row>
    <row r="359">
      <c r="A359" s="2" t="inlineStr">
        <is>
          <t>Tourè I.</t>
        </is>
      </c>
      <c r="B359" s="2" t="inlineStr">
        <is>
          <t>Monza</t>
        </is>
      </c>
      <c r="C359" s="2" t="inlineStr">
        <is>
          <t>C</t>
        </is>
      </c>
      <c r="D359" s="2" t="inlineStr">
        <is>
          <t>E/M</t>
        </is>
      </c>
      <c r="E359" s="2" t="n">
        <v>6</v>
      </c>
      <c r="F359" s="2" t="n">
        <v>1.15</v>
      </c>
      <c r="G359" s="2" t="n">
        <v>0.5</v>
      </c>
      <c r="H359" s="8" t="inlineStr">
        <is>
          <t>🔴 Infortunato/Dubbio</t>
        </is>
      </c>
      <c r="I359" s="2">
        <f>MAX(1,TRUNC(L359*(Impostazioni!$B$2/500)*1*M359*INDEX(Impostazioni!$E$23:$E$29,MATCH(H359,Impostazioni!$D$23:$D$29,0))))</f>
        <v/>
      </c>
      <c r="J359" s="9">
        <f>MAX(1,TRUNC(L359*(Impostazioni!$B$2/500)*INDEX(Motore!$A$5:$H$8,MATCH(C359,Motore!$A$5:$A$8,0),8)*M359*INDEX(Impostazioni!$E$23:$E$29,MATCH(H359,Impostazioni!$D$23:$D$29,0))))</f>
        <v/>
      </c>
      <c r="K359" s="2" t="inlineStr">
        <is>
          <t>Nuovo Arrivo (Rotazione)</t>
        </is>
      </c>
      <c r="L359" s="2" t="n">
        <v>6.9</v>
      </c>
      <c r="M359" s="2" t="n">
        <v>1</v>
      </c>
    </row>
    <row r="360">
      <c r="A360" s="2" t="inlineStr">
        <is>
          <t>Winks</t>
        </is>
      </c>
      <c r="B360" s="2" t="inlineStr">
        <is>
          <t>Cagliari</t>
        </is>
      </c>
      <c r="C360" s="2" t="inlineStr">
        <is>
          <t>C</t>
        </is>
      </c>
      <c r="D360" s="2" t="inlineStr">
        <is>
          <t>M/C</t>
        </is>
      </c>
      <c r="E360" s="2" t="n">
        <v>6</v>
      </c>
      <c r="F360" s="2" t="n">
        <v>1.2</v>
      </c>
      <c r="G360" s="2" t="n">
        <v>0.5</v>
      </c>
      <c r="H360" s="8" t="inlineStr">
        <is>
          <t>🟡 Ballottaggio</t>
        </is>
      </c>
      <c r="I360" s="2">
        <f>MAX(1,TRUNC(L360*(Impostazioni!$B$2/500)*1*M360*INDEX(Impostazioni!$E$23:$E$29,MATCH(H360,Impostazioni!$D$23:$D$29,0))))</f>
        <v/>
      </c>
      <c r="J360" s="9">
        <f>MAX(1,TRUNC(L360*(Impostazioni!$B$2/500)*INDEX(Motore!$A$5:$H$8,MATCH(C360,Motore!$A$5:$A$8,0),8)*M360*INDEX(Impostazioni!$E$23:$E$29,MATCH(H360,Impostazioni!$D$23:$D$29,0))))</f>
        <v/>
      </c>
      <c r="K360" s="2" t="inlineStr">
        <is>
          <t>Nuovo Arrivo (Rotazione)</t>
        </is>
      </c>
      <c r="L360" s="2" t="n">
        <v>6.9</v>
      </c>
      <c r="M360" s="2" t="n">
        <v>1</v>
      </c>
    </row>
    <row r="361">
      <c r="A361" s="2" t="inlineStr">
        <is>
          <t>Zerbin</t>
        </is>
      </c>
      <c r="B361" s="2" t="inlineStr">
        <is>
          <t>Frosinone</t>
        </is>
      </c>
      <c r="C361" s="2" t="inlineStr">
        <is>
          <t>C</t>
        </is>
      </c>
      <c r="D361" s="2" t="inlineStr">
        <is>
          <t>W</t>
        </is>
      </c>
      <c r="E361" s="2" t="n">
        <v>6</v>
      </c>
      <c r="F361" s="2" t="n">
        <v>1.1</v>
      </c>
      <c r="G361" s="2" t="n">
        <v>0.5</v>
      </c>
      <c r="H361" s="8" t="inlineStr">
        <is>
          <t>🟡 Ballottaggio</t>
        </is>
      </c>
      <c r="I361" s="2">
        <f>MAX(1,TRUNC(L361*(Impostazioni!$B$2/500)*1*M361*INDEX(Impostazioni!$E$23:$E$29,MATCH(H361,Impostazioni!$D$23:$D$29,0))))</f>
        <v/>
      </c>
      <c r="J361" s="9">
        <f>MAX(1,TRUNC(L361*(Impostazioni!$B$2/500)*INDEX(Motore!$A$5:$H$8,MATCH(C361,Motore!$A$5:$A$8,0),8)*M361*INDEX(Impostazioni!$E$23:$E$29,MATCH(H361,Impostazioni!$D$23:$D$29,0))))</f>
        <v/>
      </c>
      <c r="K361" s="2" t="inlineStr">
        <is>
          <t>Nuovo Arrivo (Rotazione)</t>
        </is>
      </c>
      <c r="L361" s="2" t="n">
        <v>6.9</v>
      </c>
      <c r="M361" s="2" t="n">
        <v>1</v>
      </c>
    </row>
    <row r="362">
      <c r="A362" s="2" t="inlineStr">
        <is>
          <t>Zhegrova</t>
        </is>
      </c>
      <c r="B362" s="2" t="inlineStr">
        <is>
          <t>Juventus</t>
        </is>
      </c>
      <c r="C362" s="2" t="inlineStr">
        <is>
          <t>C</t>
        </is>
      </c>
      <c r="D362" s="2" t="inlineStr">
        <is>
          <t>W</t>
        </is>
      </c>
      <c r="E362" s="2" t="n">
        <v>6</v>
      </c>
      <c r="F362" s="2" t="n">
        <v>1.3</v>
      </c>
      <c r="G362" s="2" t="n">
        <v>0.5</v>
      </c>
      <c r="H362" s="8" t="inlineStr">
        <is>
          <t>🪑 Riserva Fissa (da fasciaFc)</t>
        </is>
      </c>
      <c r="I362" s="2">
        <f>MAX(1,TRUNC(L362*(Impostazioni!$B$2/500)*1*M362*INDEX(Impostazioni!$E$23:$E$29,MATCH(H362,Impostazioni!$D$23:$D$29,0))))</f>
        <v/>
      </c>
      <c r="J362" s="9">
        <f>MAX(1,TRUNC(L362*(Impostazioni!$B$2/500)*INDEX(Motore!$A$5:$H$8,MATCH(C362,Motore!$A$5:$A$8,0),8)*M362*INDEX(Impostazioni!$E$23:$E$29,MATCH(H362,Impostazioni!$D$23:$D$29,0))))</f>
        <v/>
      </c>
      <c r="K362" s="2" t="inlineStr">
        <is>
          <t>Nuovo Arrivo (Rotazione)</t>
        </is>
      </c>
      <c r="L362" s="2" t="n">
        <v>6.9</v>
      </c>
      <c r="M362" s="2" t="n">
        <v>1</v>
      </c>
    </row>
    <row r="363">
      <c r="A363" s="2" t="inlineStr">
        <is>
          <t>Amondarain</t>
        </is>
      </c>
      <c r="B363" s="2" t="inlineStr">
        <is>
          <t>Bologna</t>
        </is>
      </c>
      <c r="C363" s="2" t="inlineStr">
        <is>
          <t>C</t>
        </is>
      </c>
      <c r="D363" s="2" t="inlineStr">
        <is>
          <t>M/C</t>
        </is>
      </c>
      <c r="E363" s="2" t="n">
        <v>5</v>
      </c>
      <c r="F363" s="2" t="n">
        <v>1.1</v>
      </c>
      <c r="G363" s="2" t="n">
        <v>0.5</v>
      </c>
      <c r="H363" s="8" t="inlineStr">
        <is>
          <t>🪑 Riserva Fissa (da fasciaFc)</t>
        </is>
      </c>
      <c r="I363" s="2">
        <f>MAX(1,TRUNC(L363*(Impostazioni!$B$2/500)*1*M363*INDEX(Impostazioni!$E$23:$E$29,MATCH(H363,Impostazioni!$D$23:$D$29,0))))</f>
        <v/>
      </c>
      <c r="J363" s="9">
        <f>MAX(1,TRUNC(L363*(Impostazioni!$B$2/500)*INDEX(Motore!$A$5:$H$8,MATCH(C363,Motore!$A$5:$A$8,0),8)*M363*INDEX(Impostazioni!$E$23:$E$29,MATCH(H363,Impostazioni!$D$23:$D$29,0))))</f>
        <v/>
      </c>
      <c r="K363" s="2" t="inlineStr">
        <is>
          <t>Scommessa / Sconosciuto</t>
        </is>
      </c>
      <c r="L363" s="2" t="n">
        <v>1</v>
      </c>
      <c r="M363" s="2" t="n">
        <v>1</v>
      </c>
    </row>
    <row r="364">
      <c r="A364" s="2" t="inlineStr">
        <is>
          <t>Busio</t>
        </is>
      </c>
      <c r="B364" s="2" t="inlineStr">
        <is>
          <t>Venezia</t>
        </is>
      </c>
      <c r="C364" s="2" t="inlineStr">
        <is>
          <t>C</t>
        </is>
      </c>
      <c r="D364" s="2" t="inlineStr">
        <is>
          <t>M/C</t>
        </is>
      </c>
      <c r="E364" s="2" t="n">
        <v>5</v>
      </c>
      <c r="F364" s="2" t="n">
        <v>3.3</v>
      </c>
      <c r="G364" s="2" t="n">
        <v>3.65</v>
      </c>
      <c r="H364" s="8" t="inlineStr">
        <is>
          <t>🎯 Rigorista designato</t>
        </is>
      </c>
      <c r="I364" s="2">
        <f>MAX(1,TRUNC(L364*(Impostazioni!$B$2/500)*1*M364*INDEX(Impostazioni!$E$23:$E$29,MATCH(H364,Impostazioni!$D$23:$D$29,0))))</f>
        <v/>
      </c>
      <c r="J364" s="9">
        <f>MAX(1,TRUNC(L364*(Impostazioni!$B$2/500)*INDEX(Motore!$A$5:$H$8,MATCH(C364,Motore!$A$5:$A$8,0),8)*M364*INDEX(Impostazioni!$E$23:$E$29,MATCH(H364,Impostazioni!$D$23:$D$29,0))))</f>
        <v/>
      </c>
      <c r="K364" s="2" t="inlineStr">
        <is>
          <t>Scommessa / Sconosciuto</t>
        </is>
      </c>
      <c r="L364" s="2" t="n">
        <v>1</v>
      </c>
      <c r="M364" s="2" t="n">
        <v>1</v>
      </c>
    </row>
    <row r="365">
      <c r="A365" s="2" t="inlineStr">
        <is>
          <t>Cissè A.</t>
        </is>
      </c>
      <c r="B365" s="2" t="inlineStr">
        <is>
          <t>Milan</t>
        </is>
      </c>
      <c r="C365" s="2" t="inlineStr">
        <is>
          <t>C</t>
        </is>
      </c>
      <c r="D365" s="2" t="inlineStr">
        <is>
          <t>W/T</t>
        </is>
      </c>
      <c r="E365" s="2" t="n">
        <v>5</v>
      </c>
      <c r="F365" s="2" t="n">
        <v>5.55</v>
      </c>
      <c r="G365" s="2" t="n">
        <v>0.5</v>
      </c>
      <c r="H365" s="8" t="inlineStr">
        <is>
          <t>🪑 Riserva Fissa (da fasciaFc)</t>
        </is>
      </c>
      <c r="I365" s="2">
        <f>MAX(1,TRUNC(L365*(Impostazioni!$B$2/500)*1*M365*INDEX(Impostazioni!$E$23:$E$29,MATCH(H365,Impostazioni!$D$23:$D$29,0))))</f>
        <v/>
      </c>
      <c r="J365" s="9">
        <f>MAX(1,TRUNC(L365*(Impostazioni!$B$2/500)*INDEX(Motore!$A$5:$H$8,MATCH(C365,Motore!$A$5:$A$8,0),8)*M365*INDEX(Impostazioni!$E$23:$E$29,MATCH(H365,Impostazioni!$D$23:$D$29,0))))</f>
        <v/>
      </c>
      <c r="K365" s="2" t="inlineStr">
        <is>
          <t>Scommessa / Sconosciuto</t>
        </is>
      </c>
      <c r="L365" s="2" t="n">
        <v>1</v>
      </c>
      <c r="M365" s="2" t="n">
        <v>1</v>
      </c>
    </row>
    <row r="366">
      <c r="A366" s="2" t="inlineStr">
        <is>
          <t>Dele-Bashiru</t>
        </is>
      </c>
      <c r="B366" s="2" t="inlineStr">
        <is>
          <t>Lazio</t>
        </is>
      </c>
      <c r="C366" s="2" t="inlineStr">
        <is>
          <t>C</t>
        </is>
      </c>
      <c r="D366" s="2" t="inlineStr">
        <is>
          <t>C/T</t>
        </is>
      </c>
      <c r="E366" s="2" t="n">
        <v>5</v>
      </c>
      <c r="F366" s="2" t="n">
        <v>1.05</v>
      </c>
      <c r="G366" s="2" t="n">
        <v>0.5</v>
      </c>
      <c r="H366" s="8" t="inlineStr">
        <is>
          <t>Normale</t>
        </is>
      </c>
      <c r="I366" s="2">
        <f>MAX(1,TRUNC(L366*(Impostazioni!$B$2/500)*1*M366*INDEX(Impostazioni!$E$23:$E$29,MATCH(H366,Impostazioni!$D$23:$D$29,0))))</f>
        <v/>
      </c>
      <c r="J366" s="9">
        <f>MAX(1,TRUNC(L366*(Impostazioni!$B$2/500)*INDEX(Motore!$A$5:$H$8,MATCH(C366,Motore!$A$5:$A$8,0),8)*M366*INDEX(Impostazioni!$E$23:$E$29,MATCH(H366,Impostazioni!$D$23:$D$29,0))))</f>
        <v/>
      </c>
      <c r="K366" s="2" t="inlineStr">
        <is>
          <t>Scommessa / Sconosciuto</t>
        </is>
      </c>
      <c r="L366" s="2" t="n">
        <v>1</v>
      </c>
      <c r="M366" s="2" t="n">
        <v>1</v>
      </c>
    </row>
    <row r="367">
      <c r="A367" s="2" t="inlineStr">
        <is>
          <t>Felici</t>
        </is>
      </c>
      <c r="B367" s="2" t="inlineStr">
        <is>
          <t>Cagliari</t>
        </is>
      </c>
      <c r="C367" s="2" t="inlineStr">
        <is>
          <t>C</t>
        </is>
      </c>
      <c r="D367" s="2" t="inlineStr">
        <is>
          <t>W</t>
        </is>
      </c>
      <c r="E367" s="2" t="n">
        <v>5</v>
      </c>
      <c r="F367" s="2" t="n">
        <v>1</v>
      </c>
      <c r="G367" s="2" t="n">
        <v>0.5</v>
      </c>
      <c r="H367" s="8" t="inlineStr">
        <is>
          <t>🪑 Riserva Fissa (da fasciaFc)</t>
        </is>
      </c>
      <c r="I367" s="2">
        <f>MAX(1,TRUNC(L367*(Impostazioni!$B$2/500)*1*M367*INDEX(Impostazioni!$E$23:$E$29,MATCH(H367,Impostazioni!$D$23:$D$29,0))))</f>
        <v/>
      </c>
      <c r="J367" s="9">
        <f>MAX(1,TRUNC(L367*(Impostazioni!$B$2/500)*INDEX(Motore!$A$5:$H$8,MATCH(C367,Motore!$A$5:$A$8,0),8)*M367*INDEX(Impostazioni!$E$23:$E$29,MATCH(H367,Impostazioni!$D$23:$D$29,0))))</f>
        <v/>
      </c>
      <c r="K367" s="2" t="inlineStr">
        <is>
          <t>Scommessa / Sconosciuto</t>
        </is>
      </c>
      <c r="L367" s="2" t="n">
        <v>1</v>
      </c>
      <c r="M367" s="2" t="n">
        <v>1</v>
      </c>
    </row>
    <row r="368">
      <c r="A368" s="2" t="inlineStr">
        <is>
          <t>Fitz-Jim</t>
        </is>
      </c>
      <c r="B368" s="2" t="inlineStr">
        <is>
          <t>Torino</t>
        </is>
      </c>
      <c r="C368" s="2" t="inlineStr">
        <is>
          <t>C</t>
        </is>
      </c>
      <c r="D368" s="2" t="inlineStr">
        <is>
          <t>M/C</t>
        </is>
      </c>
      <c r="E368" s="2" t="n">
        <v>5</v>
      </c>
      <c r="F368" s="2" t="n">
        <v>2.25</v>
      </c>
      <c r="G368" s="2" t="n">
        <v>0.5</v>
      </c>
      <c r="H368" s="8" t="inlineStr">
        <is>
          <t>🟡 Ballottaggio</t>
        </is>
      </c>
      <c r="I368" s="2">
        <f>MAX(1,TRUNC(L368*(Impostazioni!$B$2/500)*1*M368*INDEX(Impostazioni!$E$23:$E$29,MATCH(H368,Impostazioni!$D$23:$D$29,0))))</f>
        <v/>
      </c>
      <c r="J368" s="9">
        <f>MAX(1,TRUNC(L368*(Impostazioni!$B$2/500)*INDEX(Motore!$A$5:$H$8,MATCH(C368,Motore!$A$5:$A$8,0),8)*M368*INDEX(Impostazioni!$E$23:$E$29,MATCH(H368,Impostazioni!$D$23:$D$29,0))))</f>
        <v/>
      </c>
      <c r="K368" s="2" t="inlineStr">
        <is>
          <t>Scommessa / Sconosciuto</t>
        </is>
      </c>
      <c r="L368" s="2" t="n">
        <v>1</v>
      </c>
      <c r="M368" s="2" t="n">
        <v>1</v>
      </c>
    </row>
    <row r="369">
      <c r="A369" s="2" t="inlineStr">
        <is>
          <t>Gineitis</t>
        </is>
      </c>
      <c r="B369" s="2" t="inlineStr">
        <is>
          <t>Torino</t>
        </is>
      </c>
      <c r="C369" s="2" t="inlineStr">
        <is>
          <t>C</t>
        </is>
      </c>
      <c r="D369" s="2" t="inlineStr">
        <is>
          <t>M/C</t>
        </is>
      </c>
      <c r="E369" s="2" t="n">
        <v>5</v>
      </c>
      <c r="F369" s="2" t="n">
        <v>1.25</v>
      </c>
      <c r="G369" s="2" t="n">
        <v>0.5</v>
      </c>
      <c r="H369" s="8" t="inlineStr">
        <is>
          <t>🟡 Ballottaggio</t>
        </is>
      </c>
      <c r="I369" s="2">
        <f>MAX(1,TRUNC(L369*(Impostazioni!$B$2/500)*1*M369*INDEX(Impostazioni!$E$23:$E$29,MATCH(H369,Impostazioni!$D$23:$D$29,0))))</f>
        <v/>
      </c>
      <c r="J369" s="9">
        <f>MAX(1,TRUNC(L369*(Impostazioni!$B$2/500)*INDEX(Motore!$A$5:$H$8,MATCH(C369,Motore!$A$5:$A$8,0),8)*M369*INDEX(Impostazioni!$E$23:$E$29,MATCH(H369,Impostazioni!$D$23:$D$29,0))))</f>
        <v/>
      </c>
      <c r="K369" s="2" t="inlineStr">
        <is>
          <t>Scommessa / Sconosciuto</t>
        </is>
      </c>
      <c r="L369" s="2" t="n">
        <v>1</v>
      </c>
      <c r="M369" s="2" t="n">
        <v>1</v>
      </c>
    </row>
    <row r="370">
      <c r="A370" s="2" t="inlineStr">
        <is>
          <t>Jashari</t>
        </is>
      </c>
      <c r="B370" s="2" t="inlineStr">
        <is>
          <t>Milan</t>
        </is>
      </c>
      <c r="C370" s="2" t="inlineStr">
        <is>
          <t>C</t>
        </is>
      </c>
      <c r="D370" s="2" t="inlineStr">
        <is>
          <t>M/C</t>
        </is>
      </c>
      <c r="E370" s="2" t="n">
        <v>5</v>
      </c>
      <c r="F370" s="2" t="n">
        <v>1.7</v>
      </c>
      <c r="G370" s="2" t="n">
        <v>0.5</v>
      </c>
      <c r="H370" s="8" t="inlineStr">
        <is>
          <t>🟡 Ballottaggio</t>
        </is>
      </c>
      <c r="I370" s="2">
        <f>MAX(1,TRUNC(L370*(Impostazioni!$B$2/500)*1*M370*INDEX(Impostazioni!$E$23:$E$29,MATCH(H370,Impostazioni!$D$23:$D$29,0))))</f>
        <v/>
      </c>
      <c r="J370" s="9">
        <f>MAX(1,TRUNC(L370*(Impostazioni!$B$2/500)*INDEX(Motore!$A$5:$H$8,MATCH(C370,Motore!$A$5:$A$8,0),8)*M370*INDEX(Impostazioni!$E$23:$E$29,MATCH(H370,Impostazioni!$D$23:$D$29,0))))</f>
        <v/>
      </c>
      <c r="K370" s="2" t="inlineStr">
        <is>
          <t>Scommessa / Sconosciuto</t>
        </is>
      </c>
      <c r="L370" s="2" t="n">
        <v>1</v>
      </c>
      <c r="M370" s="2" t="n">
        <v>1</v>
      </c>
    </row>
    <row r="371">
      <c r="A371" s="2" t="inlineStr">
        <is>
          <t>Keita M.</t>
        </is>
      </c>
      <c r="B371" s="2" t="inlineStr">
        <is>
          <t>Parma</t>
        </is>
      </c>
      <c r="C371" s="2" t="inlineStr">
        <is>
          <t>C</t>
        </is>
      </c>
      <c r="D371" s="2" t="inlineStr">
        <is>
          <t>M/C</t>
        </is>
      </c>
      <c r="E371" s="2" t="n">
        <v>5</v>
      </c>
      <c r="F371" s="2" t="n">
        <v>1.5</v>
      </c>
      <c r="G371" s="2" t="n">
        <v>0.5</v>
      </c>
      <c r="H371" s="8" t="inlineStr">
        <is>
          <t>Normale</t>
        </is>
      </c>
      <c r="I371" s="2">
        <f>MAX(1,TRUNC(L371*(Impostazioni!$B$2/500)*1*M371*INDEX(Impostazioni!$E$23:$E$29,MATCH(H371,Impostazioni!$D$23:$D$29,0))))</f>
        <v/>
      </c>
      <c r="J371" s="9">
        <f>MAX(1,TRUNC(L371*(Impostazioni!$B$2/500)*INDEX(Motore!$A$5:$H$8,MATCH(C371,Motore!$A$5:$A$8,0),8)*M371*INDEX(Impostazioni!$E$23:$E$29,MATCH(H371,Impostazioni!$D$23:$D$29,0))))</f>
        <v/>
      </c>
      <c r="K371" s="2" t="inlineStr">
        <is>
          <t>Scommessa / Sconosciuto</t>
        </is>
      </c>
      <c r="L371" s="2" t="n">
        <v>1</v>
      </c>
      <c r="M371" s="2" t="n">
        <v>1</v>
      </c>
    </row>
    <row r="372">
      <c r="A372" s="2" t="inlineStr">
        <is>
          <t>Luis Henrique</t>
        </is>
      </c>
      <c r="B372" s="2" t="inlineStr">
        <is>
          <t>Inter</t>
        </is>
      </c>
      <c r="C372" s="2" t="inlineStr">
        <is>
          <t>C</t>
        </is>
      </c>
      <c r="D372" s="2" t="inlineStr">
        <is>
          <t>E/W</t>
        </is>
      </c>
      <c r="E372" s="2" t="n">
        <v>5</v>
      </c>
      <c r="F372" s="2" t="n">
        <v>1.5</v>
      </c>
      <c r="G372" s="2" t="n">
        <v>0.5</v>
      </c>
      <c r="H372" s="8" t="inlineStr">
        <is>
          <t>🪑 Riserva Fissa (da fasciaFc)</t>
        </is>
      </c>
      <c r="I372" s="2">
        <f>MAX(1,TRUNC(L372*(Impostazioni!$B$2/500)*1*M372*INDEX(Impostazioni!$E$23:$E$29,MATCH(H372,Impostazioni!$D$23:$D$29,0))))</f>
        <v/>
      </c>
      <c r="J372" s="9">
        <f>MAX(1,TRUNC(L372*(Impostazioni!$B$2/500)*INDEX(Motore!$A$5:$H$8,MATCH(C372,Motore!$A$5:$A$8,0),8)*M372*INDEX(Impostazioni!$E$23:$E$29,MATCH(H372,Impostazioni!$D$23:$D$29,0))))</f>
        <v/>
      </c>
      <c r="K372" s="2" t="inlineStr">
        <is>
          <t>Scommessa / Sconosciuto</t>
        </is>
      </c>
      <c r="L372" s="2" t="n">
        <v>1</v>
      </c>
      <c r="M372" s="2" t="n">
        <v>1</v>
      </c>
    </row>
    <row r="373">
      <c r="A373" s="2" t="inlineStr">
        <is>
          <t>Meichtry</t>
        </is>
      </c>
      <c r="B373" s="2" t="inlineStr">
        <is>
          <t>Genoa</t>
        </is>
      </c>
      <c r="C373" s="2" t="inlineStr">
        <is>
          <t>C</t>
        </is>
      </c>
      <c r="D373" s="2" t="inlineStr">
        <is>
          <t>W/T</t>
        </is>
      </c>
      <c r="E373" s="2" t="n">
        <v>5</v>
      </c>
      <c r="F373" s="2" t="n">
        <v>1.05</v>
      </c>
      <c r="G373" s="2" t="n">
        <v>0.5</v>
      </c>
      <c r="H373" s="8" t="inlineStr">
        <is>
          <t>Normale</t>
        </is>
      </c>
      <c r="I373" s="2">
        <f>MAX(1,TRUNC(L373*(Impostazioni!$B$2/500)*1*M373*INDEX(Impostazioni!$E$23:$E$29,MATCH(H373,Impostazioni!$D$23:$D$29,0))))</f>
        <v/>
      </c>
      <c r="J373" s="9">
        <f>MAX(1,TRUNC(L373*(Impostazioni!$B$2/500)*INDEX(Motore!$A$5:$H$8,MATCH(C373,Motore!$A$5:$A$8,0),8)*M373*INDEX(Impostazioni!$E$23:$E$29,MATCH(H373,Impostazioni!$D$23:$D$29,0))))</f>
        <v/>
      </c>
      <c r="K373" s="2" t="inlineStr">
        <is>
          <t>Scommessa / Sconosciuto</t>
        </is>
      </c>
      <c r="L373" s="2" t="n">
        <v>1</v>
      </c>
      <c r="M373" s="2" t="n">
        <v>1</v>
      </c>
    </row>
    <row r="374">
      <c r="A374" s="2" t="inlineStr">
        <is>
          <t>Perez K.</t>
        </is>
      </c>
      <c r="B374" s="2" t="inlineStr">
        <is>
          <t>Venezia</t>
        </is>
      </c>
      <c r="C374" s="2" t="inlineStr">
        <is>
          <t>C</t>
        </is>
      </c>
      <c r="D374" s="2" t="inlineStr">
        <is>
          <t>C/T</t>
        </is>
      </c>
      <c r="E374" s="2" t="n">
        <v>5</v>
      </c>
      <c r="F374" s="2" t="n">
        <v>1.05</v>
      </c>
      <c r="G374" s="2" t="n">
        <v>0.5</v>
      </c>
      <c r="H374" s="8" t="inlineStr">
        <is>
          <t>Normale</t>
        </is>
      </c>
      <c r="I374" s="2">
        <f>MAX(1,TRUNC(L374*(Impostazioni!$B$2/500)*1*M374*INDEX(Impostazioni!$E$23:$E$29,MATCH(H374,Impostazioni!$D$23:$D$29,0))))</f>
        <v/>
      </c>
      <c r="J374" s="9">
        <f>MAX(1,TRUNC(L374*(Impostazioni!$B$2/500)*INDEX(Motore!$A$5:$H$8,MATCH(C374,Motore!$A$5:$A$8,0),8)*M374*INDEX(Impostazioni!$E$23:$E$29,MATCH(H374,Impostazioni!$D$23:$D$29,0))))</f>
        <v/>
      </c>
      <c r="K374" s="2" t="inlineStr">
        <is>
          <t>Scommessa / Sconosciuto</t>
        </is>
      </c>
      <c r="L374" s="2" t="n">
        <v>1</v>
      </c>
      <c r="M374" s="2" t="n">
        <v>1</v>
      </c>
    </row>
    <row r="375">
      <c r="A375" s="2" t="inlineStr">
        <is>
          <t>Sohm</t>
        </is>
      </c>
      <c r="B375" s="2" t="inlineStr">
        <is>
          <t>Venezia</t>
        </is>
      </c>
      <c r="C375" s="2" t="inlineStr">
        <is>
          <t>C</t>
        </is>
      </c>
      <c r="D375" s="2" t="inlineStr">
        <is>
          <t>C</t>
        </is>
      </c>
      <c r="E375" s="2" t="n">
        <v>5</v>
      </c>
      <c r="F375" s="2" t="n">
        <v>0.95</v>
      </c>
      <c r="G375" s="2" t="n">
        <v>0.5</v>
      </c>
      <c r="H375" s="8" t="inlineStr">
        <is>
          <t>Normale</t>
        </is>
      </c>
      <c r="I375" s="2">
        <f>MAX(1,TRUNC(L375*(Impostazioni!$B$2/500)*1*M375*INDEX(Impostazioni!$E$23:$E$29,MATCH(H375,Impostazioni!$D$23:$D$29,0))))</f>
        <v/>
      </c>
      <c r="J375" s="9">
        <f>MAX(1,TRUNC(L375*(Impostazioni!$B$2/500)*INDEX(Motore!$A$5:$H$8,MATCH(C375,Motore!$A$5:$A$8,0),8)*M375*INDEX(Impostazioni!$E$23:$E$29,MATCH(H375,Impostazioni!$D$23:$D$29,0))))</f>
        <v/>
      </c>
      <c r="K375" s="2" t="inlineStr">
        <is>
          <t>Scommessa / Sconosciuto</t>
        </is>
      </c>
      <c r="L375" s="2" t="n">
        <v>1</v>
      </c>
      <c r="M375" s="2" t="n">
        <v>1</v>
      </c>
    </row>
    <row r="376">
      <c r="A376" s="2" t="inlineStr">
        <is>
          <t>Addai</t>
        </is>
      </c>
      <c r="B376" s="2" t="inlineStr">
        <is>
          <t>Como</t>
        </is>
      </c>
      <c r="C376" s="2" t="inlineStr">
        <is>
          <t>C</t>
        </is>
      </c>
      <c r="D376" s="2" t="inlineStr">
        <is>
          <t>W/A</t>
        </is>
      </c>
      <c r="E376" s="2" t="n">
        <v>4</v>
      </c>
      <c r="F376" s="2" t="n">
        <v>1</v>
      </c>
      <c r="G376" s="2" t="n">
        <v>0.5</v>
      </c>
      <c r="H376" s="8" t="inlineStr">
        <is>
          <t>🔴 Infortunato/Dubbio</t>
        </is>
      </c>
      <c r="I376" s="2">
        <f>MAX(1,TRUNC(L376*(Impostazioni!$B$2/500)*1*M376*INDEX(Impostazioni!$E$23:$E$29,MATCH(H376,Impostazioni!$D$23:$D$29,0))))</f>
        <v/>
      </c>
      <c r="J376" s="9">
        <f>MAX(1,TRUNC(L376*(Impostazioni!$B$2/500)*INDEX(Motore!$A$5:$H$8,MATCH(C376,Motore!$A$5:$A$8,0),8)*M376*INDEX(Impostazioni!$E$23:$E$29,MATCH(H376,Impostazioni!$D$23:$D$29,0))))</f>
        <v/>
      </c>
      <c r="K376" s="2" t="inlineStr">
        <is>
          <t>Scommessa / Sconosciuto</t>
        </is>
      </c>
      <c r="L376" s="2" t="n">
        <v>1</v>
      </c>
      <c r="M376" s="2" t="n">
        <v>1</v>
      </c>
    </row>
    <row r="377">
      <c r="A377" s="2" t="inlineStr">
        <is>
          <t>Almqvist</t>
        </is>
      </c>
      <c r="B377" s="2" t="inlineStr">
        <is>
          <t>Parma</t>
        </is>
      </c>
      <c r="C377" s="2" t="inlineStr">
        <is>
          <t>C</t>
        </is>
      </c>
      <c r="D377" s="2" t="inlineStr">
        <is>
          <t>W/A</t>
        </is>
      </c>
      <c r="E377" s="2" t="n">
        <v>4</v>
      </c>
      <c r="F377" s="2" t="n">
        <v>0.95</v>
      </c>
      <c r="G377" s="2" t="n">
        <v>0.5</v>
      </c>
      <c r="H377" s="8" t="inlineStr">
        <is>
          <t>🪑 Riserva Fissa (da fasciaFc)</t>
        </is>
      </c>
      <c r="I377" s="2">
        <f>MAX(1,TRUNC(L377*(Impostazioni!$B$2/500)*1*M377*INDEX(Impostazioni!$E$23:$E$29,MATCH(H377,Impostazioni!$D$23:$D$29,0))))</f>
        <v/>
      </c>
      <c r="J377" s="9">
        <f>MAX(1,TRUNC(L377*(Impostazioni!$B$2/500)*INDEX(Motore!$A$5:$H$8,MATCH(C377,Motore!$A$5:$A$8,0),8)*M377*INDEX(Impostazioni!$E$23:$E$29,MATCH(H377,Impostazioni!$D$23:$D$29,0))))</f>
        <v/>
      </c>
      <c r="K377" s="2" t="inlineStr">
        <is>
          <t>Scommessa / Sconosciuto</t>
        </is>
      </c>
      <c r="L377" s="2" t="n">
        <v>1</v>
      </c>
      <c r="M377" s="2" t="n">
        <v>1</v>
      </c>
    </row>
    <row r="378">
      <c r="A378" s="2" t="inlineStr">
        <is>
          <t>Amorim</t>
        </is>
      </c>
      <c r="B378" s="2" t="inlineStr">
        <is>
          <t>Genoa</t>
        </is>
      </c>
      <c r="C378" s="2" t="inlineStr">
        <is>
          <t>C</t>
        </is>
      </c>
      <c r="D378" s="2" t="inlineStr">
        <is>
          <t>M/C</t>
        </is>
      </c>
      <c r="E378" s="2" t="n">
        <v>4</v>
      </c>
      <c r="F378" s="2" t="n">
        <v>0.95</v>
      </c>
      <c r="G378" s="2" t="n">
        <v>0.5</v>
      </c>
      <c r="H378" s="8" t="inlineStr">
        <is>
          <t>🟡 Ballottaggio</t>
        </is>
      </c>
      <c r="I378" s="2">
        <f>MAX(1,TRUNC(L378*(Impostazioni!$B$2/500)*1*M378*INDEX(Impostazioni!$E$23:$E$29,MATCH(H378,Impostazioni!$D$23:$D$29,0))))</f>
        <v/>
      </c>
      <c r="J378" s="9">
        <f>MAX(1,TRUNC(L378*(Impostazioni!$B$2/500)*INDEX(Motore!$A$5:$H$8,MATCH(C378,Motore!$A$5:$A$8,0),8)*M378*INDEX(Impostazioni!$E$23:$E$29,MATCH(H378,Impostazioni!$D$23:$D$29,0))))</f>
        <v/>
      </c>
      <c r="K378" s="2" t="inlineStr">
        <is>
          <t>Scommessa / Sconosciuto</t>
        </is>
      </c>
      <c r="L378" s="2" t="n">
        <v>1</v>
      </c>
      <c r="M378" s="2" t="n">
        <v>1</v>
      </c>
    </row>
    <row r="379">
      <c r="A379" s="2" t="inlineStr">
        <is>
          <t>Berisha M.</t>
        </is>
      </c>
      <c r="B379" s="2" t="inlineStr">
        <is>
          <t>Lecce</t>
        </is>
      </c>
      <c r="C379" s="2" t="inlineStr">
        <is>
          <t>C</t>
        </is>
      </c>
      <c r="D379" s="2" t="inlineStr">
        <is>
          <t>C/T</t>
        </is>
      </c>
      <c r="E379" s="2" t="n">
        <v>4</v>
      </c>
      <c r="F379" s="2" t="n">
        <v>1.2</v>
      </c>
      <c r="G379" s="2" t="n">
        <v>0.5</v>
      </c>
      <c r="H379" s="8" t="inlineStr">
        <is>
          <t>🔴 Infortunato/Dubbio</t>
        </is>
      </c>
      <c r="I379" s="2">
        <f>MAX(1,TRUNC(L379*(Impostazioni!$B$2/500)*1*M379*INDEX(Impostazioni!$E$23:$E$29,MATCH(H379,Impostazioni!$D$23:$D$29,0))))</f>
        <v/>
      </c>
      <c r="J379" s="9">
        <f>MAX(1,TRUNC(L379*(Impostazioni!$B$2/500)*INDEX(Motore!$A$5:$H$8,MATCH(C379,Motore!$A$5:$A$8,0),8)*M379*INDEX(Impostazioni!$E$23:$E$29,MATCH(H379,Impostazioni!$D$23:$D$29,0))))</f>
        <v/>
      </c>
      <c r="K379" s="2" t="inlineStr">
        <is>
          <t>Scommessa / Sconosciuto</t>
        </is>
      </c>
      <c r="L379" s="2" t="n">
        <v>1</v>
      </c>
      <c r="M379" s="2" t="n">
        <v>1</v>
      </c>
    </row>
    <row r="380">
      <c r="A380" s="2" t="inlineStr">
        <is>
          <t>Cataldi</t>
        </is>
      </c>
      <c r="B380" s="2" t="inlineStr">
        <is>
          <t>Lazio</t>
        </is>
      </c>
      <c r="C380" s="2" t="inlineStr">
        <is>
          <t>C</t>
        </is>
      </c>
      <c r="D380" s="2" t="inlineStr">
        <is>
          <t>M/C</t>
        </is>
      </c>
      <c r="E380" s="2" t="n">
        <v>4</v>
      </c>
      <c r="F380" s="2" t="n">
        <v>0.95</v>
      </c>
      <c r="G380" s="2" t="n">
        <v>0.5</v>
      </c>
      <c r="H380" s="8" t="inlineStr">
        <is>
          <t>🔴 Infortunato/Dubbio</t>
        </is>
      </c>
      <c r="I380" s="2">
        <f>MAX(1,TRUNC(L380*(Impostazioni!$B$2/500)*1*M380*INDEX(Impostazioni!$E$23:$E$29,MATCH(H380,Impostazioni!$D$23:$D$29,0))))</f>
        <v/>
      </c>
      <c r="J380" s="9">
        <f>MAX(1,TRUNC(L380*(Impostazioni!$B$2/500)*INDEX(Motore!$A$5:$H$8,MATCH(C380,Motore!$A$5:$A$8,0),8)*M380*INDEX(Impostazioni!$E$23:$E$29,MATCH(H380,Impostazioni!$D$23:$D$29,0))))</f>
        <v/>
      </c>
      <c r="K380" s="2" t="inlineStr">
        <is>
          <t>Scommessa / Sconosciuto</t>
        </is>
      </c>
      <c r="L380" s="2" t="n">
        <v>1</v>
      </c>
      <c r="M380" s="2" t="n">
        <v>1</v>
      </c>
    </row>
    <row r="381">
      <c r="A381" s="2" t="inlineStr">
        <is>
          <t>Cichella</t>
        </is>
      </c>
      <c r="B381" s="2" t="inlineStr">
        <is>
          <t>Frosinone</t>
        </is>
      </c>
      <c r="C381" s="2" t="inlineStr">
        <is>
          <t>C</t>
        </is>
      </c>
      <c r="D381" s="2" t="inlineStr">
        <is>
          <t>M/C</t>
        </is>
      </c>
      <c r="E381" s="2" t="n">
        <v>4</v>
      </c>
      <c r="F381" s="2" t="n">
        <v>0.85</v>
      </c>
      <c r="G381" s="2" t="n">
        <v>0.5</v>
      </c>
      <c r="H381" s="8" t="inlineStr">
        <is>
          <t>🟡 Ballottaggio</t>
        </is>
      </c>
      <c r="I381" s="2">
        <f>MAX(1,TRUNC(L381*(Impostazioni!$B$2/500)*1*M381*INDEX(Impostazioni!$E$23:$E$29,MATCH(H381,Impostazioni!$D$23:$D$29,0))))</f>
        <v/>
      </c>
      <c r="J381" s="9">
        <f>MAX(1,TRUNC(L381*(Impostazioni!$B$2/500)*INDEX(Motore!$A$5:$H$8,MATCH(C381,Motore!$A$5:$A$8,0),8)*M381*INDEX(Impostazioni!$E$23:$E$29,MATCH(H381,Impostazioni!$D$23:$D$29,0))))</f>
        <v/>
      </c>
      <c r="K381" s="2" t="inlineStr">
        <is>
          <t>Scommessa / Sconosciuto</t>
        </is>
      </c>
      <c r="L381" s="2" t="n">
        <v>1</v>
      </c>
      <c r="M381" s="2" t="n">
        <v>1</v>
      </c>
    </row>
    <row r="382">
      <c r="A382" s="2" t="inlineStr">
        <is>
          <t>De Roon</t>
        </is>
      </c>
      <c r="B382" s="2" t="inlineStr">
        <is>
          <t>Roma</t>
        </is>
      </c>
      <c r="C382" s="2" t="inlineStr">
        <is>
          <t>C</t>
        </is>
      </c>
      <c r="D382" s="2" t="inlineStr">
        <is>
          <t>M/C</t>
        </is>
      </c>
      <c r="E382" s="2" t="n">
        <v>4</v>
      </c>
      <c r="F382" s="2" t="n">
        <v>1.8</v>
      </c>
      <c r="G382" s="2" t="n">
        <v>0.5</v>
      </c>
      <c r="H382" s="8" t="inlineStr">
        <is>
          <t>Normale</t>
        </is>
      </c>
      <c r="I382" s="2">
        <f>MAX(1,TRUNC(L382*(Impostazioni!$B$2/500)*1*M382*INDEX(Impostazioni!$E$23:$E$29,MATCH(H382,Impostazioni!$D$23:$D$29,0))))</f>
        <v/>
      </c>
      <c r="J382" s="9">
        <f>MAX(1,TRUNC(L382*(Impostazioni!$B$2/500)*INDEX(Motore!$A$5:$H$8,MATCH(C382,Motore!$A$5:$A$8,0),8)*M382*INDEX(Impostazioni!$E$23:$E$29,MATCH(H382,Impostazioni!$D$23:$D$29,0))))</f>
        <v/>
      </c>
      <c r="K382" s="2" t="inlineStr">
        <is>
          <t>Scommessa / Sconosciuto</t>
        </is>
      </c>
      <c r="L382" s="2" t="n">
        <v>1</v>
      </c>
      <c r="M382" s="2" t="n">
        <v>1</v>
      </c>
    </row>
    <row r="383">
      <c r="A383" s="2" t="inlineStr">
        <is>
          <t>Dominguez B.</t>
        </is>
      </c>
      <c r="B383" s="2" t="inlineStr">
        <is>
          <t>Sassuolo</t>
        </is>
      </c>
      <c r="C383" s="2" t="inlineStr">
        <is>
          <t>C</t>
        </is>
      </c>
      <c r="D383" s="2" t="inlineStr">
        <is>
          <t>W/A</t>
        </is>
      </c>
      <c r="E383" s="2" t="n">
        <v>4</v>
      </c>
      <c r="F383" s="2" t="n">
        <v>1.2</v>
      </c>
      <c r="G383" s="2" t="n">
        <v>0.5</v>
      </c>
      <c r="H383" s="8" t="inlineStr">
        <is>
          <t>Normale</t>
        </is>
      </c>
      <c r="I383" s="2">
        <f>MAX(1,TRUNC(L383*(Impostazioni!$B$2/500)*1*M383*INDEX(Impostazioni!$E$23:$E$29,MATCH(H383,Impostazioni!$D$23:$D$29,0))))</f>
        <v/>
      </c>
      <c r="J383" s="9">
        <f>MAX(1,TRUNC(L383*(Impostazioni!$B$2/500)*INDEX(Motore!$A$5:$H$8,MATCH(C383,Motore!$A$5:$A$8,0),8)*M383*INDEX(Impostazioni!$E$23:$E$29,MATCH(H383,Impostazioni!$D$23:$D$29,0))))</f>
        <v/>
      </c>
      <c r="K383" s="2" t="inlineStr">
        <is>
          <t>Scommessa / Sconosciuto</t>
        </is>
      </c>
      <c r="L383" s="2" t="n">
        <v>1</v>
      </c>
      <c r="M383" s="2" t="n">
        <v>1</v>
      </c>
    </row>
    <row r="384">
      <c r="A384" s="2" t="inlineStr">
        <is>
          <t>Douglas Luiz</t>
        </is>
      </c>
      <c r="B384" s="2" t="inlineStr">
        <is>
          <t>Juventus</t>
        </is>
      </c>
      <c r="C384" s="2" t="inlineStr">
        <is>
          <t>C</t>
        </is>
      </c>
      <c r="D384" s="2" t="inlineStr">
        <is>
          <t>C</t>
        </is>
      </c>
      <c r="E384" s="2" t="n">
        <v>4</v>
      </c>
      <c r="F384" s="2" t="n">
        <v>4.1</v>
      </c>
      <c r="G384" s="2" t="n">
        <v>0.5</v>
      </c>
      <c r="H384" s="8" t="inlineStr">
        <is>
          <t>Normale</t>
        </is>
      </c>
      <c r="I384" s="2">
        <f>MAX(1,TRUNC(L384*(Impostazioni!$B$2/500)*1*M384*INDEX(Impostazioni!$E$23:$E$29,MATCH(H384,Impostazioni!$D$23:$D$29,0))))</f>
        <v/>
      </c>
      <c r="J384" s="9">
        <f>MAX(1,TRUNC(L384*(Impostazioni!$B$2/500)*INDEX(Motore!$A$5:$H$8,MATCH(C384,Motore!$A$5:$A$8,0),8)*M384*INDEX(Impostazioni!$E$23:$E$29,MATCH(H384,Impostazioni!$D$23:$D$29,0))))</f>
        <v/>
      </c>
      <c r="K384" s="2" t="inlineStr">
        <is>
          <t>Scommessa / Sconosciuto</t>
        </is>
      </c>
      <c r="L384" s="2" t="n">
        <v>1</v>
      </c>
      <c r="M384" s="2" t="n">
        <v>1</v>
      </c>
    </row>
    <row r="385">
      <c r="A385" s="2" t="inlineStr">
        <is>
          <t>Fabbian</t>
        </is>
      </c>
      <c r="B385" s="2" t="inlineStr">
        <is>
          <t>Parma</t>
        </is>
      </c>
      <c r="C385" s="2" t="inlineStr">
        <is>
          <t>C</t>
        </is>
      </c>
      <c r="D385" s="2" t="inlineStr">
        <is>
          <t>C/T</t>
        </is>
      </c>
      <c r="E385" s="2" t="n">
        <v>4</v>
      </c>
      <c r="F385" s="2" t="n">
        <v>1.35</v>
      </c>
      <c r="G385" s="2" t="n">
        <v>0.5</v>
      </c>
      <c r="H385" s="8" t="inlineStr">
        <is>
          <t>🟡 Ballottaggio</t>
        </is>
      </c>
      <c r="I385" s="2">
        <f>MAX(1,TRUNC(L385*(Impostazioni!$B$2/500)*1*M385*INDEX(Impostazioni!$E$23:$E$29,MATCH(H385,Impostazioni!$D$23:$D$29,0))))</f>
        <v/>
      </c>
      <c r="J385" s="9">
        <f>MAX(1,TRUNC(L385*(Impostazioni!$B$2/500)*INDEX(Motore!$A$5:$H$8,MATCH(C385,Motore!$A$5:$A$8,0),8)*M385*INDEX(Impostazioni!$E$23:$E$29,MATCH(H385,Impostazioni!$D$23:$D$29,0))))</f>
        <v/>
      </c>
      <c r="K385" s="2" t="inlineStr">
        <is>
          <t>Scommessa / Sconosciuto</t>
        </is>
      </c>
      <c r="L385" s="2" t="n">
        <v>1</v>
      </c>
      <c r="M385" s="2" t="n">
        <v>1</v>
      </c>
    </row>
    <row r="386">
      <c r="A386" s="2" t="inlineStr">
        <is>
          <t>Fini</t>
        </is>
      </c>
      <c r="B386" s="2" t="inlineStr">
        <is>
          <t>Frosinone</t>
        </is>
      </c>
      <c r="C386" s="2" t="inlineStr">
        <is>
          <t>C</t>
        </is>
      </c>
      <c r="D386" s="2" t="inlineStr">
        <is>
          <t>W</t>
        </is>
      </c>
      <c r="E386" s="2" t="n">
        <v>4</v>
      </c>
      <c r="F386" s="2" t="n">
        <v>1</v>
      </c>
      <c r="G386" s="2" t="n">
        <v>0.5</v>
      </c>
      <c r="H386" s="8" t="inlineStr">
        <is>
          <t>🟡 Ballottaggio</t>
        </is>
      </c>
      <c r="I386" s="2">
        <f>MAX(1,TRUNC(L386*(Impostazioni!$B$2/500)*1*M386*INDEX(Impostazioni!$E$23:$E$29,MATCH(H386,Impostazioni!$D$23:$D$29,0))))</f>
        <v/>
      </c>
      <c r="J386" s="9">
        <f>MAX(1,TRUNC(L386*(Impostazioni!$B$2/500)*INDEX(Motore!$A$5:$H$8,MATCH(C386,Motore!$A$5:$A$8,0),8)*M386*INDEX(Impostazioni!$E$23:$E$29,MATCH(H386,Impostazioni!$D$23:$D$29,0))))</f>
        <v/>
      </c>
      <c r="K386" s="2" t="inlineStr">
        <is>
          <t>Scommessa / Sconosciuto</t>
        </is>
      </c>
      <c r="L386" s="2" t="n">
        <v>1</v>
      </c>
      <c r="M386" s="2" t="n">
        <v>1</v>
      </c>
    </row>
    <row r="387">
      <c r="A387" s="2" t="inlineStr">
        <is>
          <t>Folorunsho</t>
        </is>
      </c>
      <c r="B387" s="2" t="inlineStr">
        <is>
          <t>Monza</t>
        </is>
      </c>
      <c r="C387" s="2" t="inlineStr">
        <is>
          <t>C</t>
        </is>
      </c>
      <c r="D387" s="2" t="inlineStr">
        <is>
          <t>C/T</t>
        </is>
      </c>
      <c r="E387" s="2" t="n">
        <v>4</v>
      </c>
      <c r="F387" s="2" t="n">
        <v>1.35</v>
      </c>
      <c r="G387" s="2" t="n">
        <v>0.5</v>
      </c>
      <c r="H387" s="8" t="inlineStr">
        <is>
          <t>🟡 Ballottaggio</t>
        </is>
      </c>
      <c r="I387" s="2">
        <f>MAX(1,TRUNC(L387*(Impostazioni!$B$2/500)*1*M387*INDEX(Impostazioni!$E$23:$E$29,MATCH(H387,Impostazioni!$D$23:$D$29,0))))</f>
        <v/>
      </c>
      <c r="J387" s="9">
        <f>MAX(1,TRUNC(L387*(Impostazioni!$B$2/500)*INDEX(Motore!$A$5:$H$8,MATCH(C387,Motore!$A$5:$A$8,0),8)*M387*INDEX(Impostazioni!$E$23:$E$29,MATCH(H387,Impostazioni!$D$23:$D$29,0))))</f>
        <v/>
      </c>
      <c r="K387" s="2" t="inlineStr">
        <is>
          <t>Scommessa / Sconosciuto</t>
        </is>
      </c>
      <c r="L387" s="2" t="n">
        <v>1</v>
      </c>
      <c r="M387" s="2" t="n">
        <v>1</v>
      </c>
    </row>
    <row r="388">
      <c r="A388" s="2" t="inlineStr">
        <is>
          <t>Gandelman</t>
        </is>
      </c>
      <c r="B388" s="2" t="inlineStr">
        <is>
          <t>Lecce</t>
        </is>
      </c>
      <c r="C388" s="2" t="inlineStr">
        <is>
          <t>C</t>
        </is>
      </c>
      <c r="D388" s="2" t="inlineStr">
        <is>
          <t>C/T</t>
        </is>
      </c>
      <c r="E388" s="2" t="n">
        <v>4</v>
      </c>
      <c r="F388" s="2" t="n">
        <v>1</v>
      </c>
      <c r="G388" s="2" t="n">
        <v>0.5</v>
      </c>
      <c r="H388" s="8" t="inlineStr">
        <is>
          <t>Normale</t>
        </is>
      </c>
      <c r="I388" s="2">
        <f>MAX(1,TRUNC(L388*(Impostazioni!$B$2/500)*1*M388*INDEX(Impostazioni!$E$23:$E$29,MATCH(H388,Impostazioni!$D$23:$D$29,0))))</f>
        <v/>
      </c>
      <c r="J388" s="9">
        <f>MAX(1,TRUNC(L388*(Impostazioni!$B$2/500)*INDEX(Motore!$A$5:$H$8,MATCH(C388,Motore!$A$5:$A$8,0),8)*M388*INDEX(Impostazioni!$E$23:$E$29,MATCH(H388,Impostazioni!$D$23:$D$29,0))))</f>
        <v/>
      </c>
      <c r="K388" s="2" t="inlineStr">
        <is>
          <t>Scommessa / Sconosciuto</t>
        </is>
      </c>
      <c r="L388" s="2" t="n">
        <v>1</v>
      </c>
      <c r="M388" s="2" t="n">
        <v>1</v>
      </c>
    </row>
    <row r="389">
      <c r="A389" s="2" t="inlineStr">
        <is>
          <t>Grillitsch</t>
        </is>
      </c>
      <c r="B389" s="2" t="inlineStr">
        <is>
          <t>Frosinone</t>
        </is>
      </c>
      <c r="C389" s="2" t="inlineStr">
        <is>
          <t>C</t>
        </is>
      </c>
      <c r="D389" s="2" t="inlineStr">
        <is>
          <t>M/C</t>
        </is>
      </c>
      <c r="E389" s="2" t="n">
        <v>4</v>
      </c>
      <c r="F389" s="2" t="n">
        <v>1</v>
      </c>
      <c r="G389" s="2" t="n">
        <v>0.5</v>
      </c>
      <c r="H389" s="8" t="inlineStr">
        <is>
          <t>Normale</t>
        </is>
      </c>
      <c r="I389" s="2">
        <f>MAX(1,TRUNC(L389*(Impostazioni!$B$2/500)*1*M389*INDEX(Impostazioni!$E$23:$E$29,MATCH(H389,Impostazioni!$D$23:$D$29,0))))</f>
        <v/>
      </c>
      <c r="J389" s="9">
        <f>MAX(1,TRUNC(L389*(Impostazioni!$B$2/500)*INDEX(Motore!$A$5:$H$8,MATCH(C389,Motore!$A$5:$A$8,0),8)*M389*INDEX(Impostazioni!$E$23:$E$29,MATCH(H389,Impostazioni!$D$23:$D$29,0))))</f>
        <v/>
      </c>
      <c r="K389" s="2" t="inlineStr">
        <is>
          <t>Scommessa / Sconosciuto</t>
        </is>
      </c>
      <c r="L389" s="2" t="n">
        <v>1</v>
      </c>
      <c r="M389" s="2" t="n">
        <v>1</v>
      </c>
    </row>
    <row r="390">
      <c r="A390" s="2" t="inlineStr">
        <is>
          <t>Ilkhan</t>
        </is>
      </c>
      <c r="B390" s="2" t="inlineStr">
        <is>
          <t>Torino</t>
        </is>
      </c>
      <c r="C390" s="2" t="inlineStr">
        <is>
          <t>C</t>
        </is>
      </c>
      <c r="D390" s="2" t="inlineStr">
        <is>
          <t>M/C</t>
        </is>
      </c>
      <c r="E390" s="2" t="n">
        <v>4</v>
      </c>
      <c r="F390" s="2" t="n">
        <v>0.5</v>
      </c>
      <c r="G390" s="2" t="n">
        <v>0.5</v>
      </c>
      <c r="H390" s="8" t="inlineStr">
        <is>
          <t>Normale</t>
        </is>
      </c>
      <c r="I390" s="2">
        <f>MAX(1,TRUNC(L390*(Impostazioni!$B$2/500)*1*M390*INDEX(Impostazioni!$E$23:$E$29,MATCH(H390,Impostazioni!$D$23:$D$29,0))))</f>
        <v/>
      </c>
      <c r="J390" s="9">
        <f>MAX(1,TRUNC(L390*(Impostazioni!$B$2/500)*INDEX(Motore!$A$5:$H$8,MATCH(C390,Motore!$A$5:$A$8,0),8)*M390*INDEX(Impostazioni!$E$23:$E$29,MATCH(H390,Impostazioni!$D$23:$D$29,0))))</f>
        <v/>
      </c>
      <c r="K390" s="2" t="inlineStr">
        <is>
          <t>Scommessa / Sconosciuto</t>
        </is>
      </c>
      <c r="L390" s="2" t="n">
        <v>1</v>
      </c>
      <c r="M390" s="2" t="n">
        <v>1</v>
      </c>
    </row>
    <row r="391">
      <c r="A391" s="2" t="inlineStr">
        <is>
          <t>Loftus-Cheek</t>
        </is>
      </c>
      <c r="B391" s="2" t="inlineStr">
        <is>
          <t>Milan</t>
        </is>
      </c>
      <c r="C391" s="2" t="inlineStr">
        <is>
          <t>C</t>
        </is>
      </c>
      <c r="D391" s="2" t="inlineStr">
        <is>
          <t>C/T</t>
        </is>
      </c>
      <c r="E391" s="2" t="n">
        <v>4</v>
      </c>
      <c r="F391" s="2" t="n">
        <v>1.9</v>
      </c>
      <c r="G391" s="2" t="n">
        <v>0.5</v>
      </c>
      <c r="H391" s="8" t="inlineStr">
        <is>
          <t>Normale</t>
        </is>
      </c>
      <c r="I391" s="2">
        <f>MAX(1,TRUNC(L391*(Impostazioni!$B$2/500)*1*M391*INDEX(Impostazioni!$E$23:$E$29,MATCH(H391,Impostazioni!$D$23:$D$29,0))))</f>
        <v/>
      </c>
      <c r="J391" s="9">
        <f>MAX(1,TRUNC(L391*(Impostazioni!$B$2/500)*INDEX(Motore!$A$5:$H$8,MATCH(C391,Motore!$A$5:$A$8,0),8)*M391*INDEX(Impostazioni!$E$23:$E$29,MATCH(H391,Impostazioni!$D$23:$D$29,0))))</f>
        <v/>
      </c>
      <c r="K391" s="2" t="inlineStr">
        <is>
          <t>Scommessa / Sconosciuto</t>
        </is>
      </c>
      <c r="L391" s="2" t="n">
        <v>1</v>
      </c>
      <c r="M391" s="2" t="n">
        <v>1</v>
      </c>
    </row>
    <row r="392">
      <c r="A392" s="2" t="inlineStr">
        <is>
          <t>Massolin</t>
        </is>
      </c>
      <c r="B392" s="2" t="inlineStr">
        <is>
          <t>Cagliari</t>
        </is>
      </c>
      <c r="C392" s="2" t="inlineStr">
        <is>
          <t>C</t>
        </is>
      </c>
      <c r="D392" s="2" t="inlineStr">
        <is>
          <t>C/T</t>
        </is>
      </c>
      <c r="E392" s="2" t="n">
        <v>4</v>
      </c>
      <c r="F392" s="2" t="n">
        <v>1.1</v>
      </c>
      <c r="G392" s="2" t="n">
        <v>0.5</v>
      </c>
      <c r="H392" s="8" t="inlineStr">
        <is>
          <t>🪑 Riserva Fissa (da fasciaFc)</t>
        </is>
      </c>
      <c r="I392" s="2">
        <f>MAX(1,TRUNC(L392*(Impostazioni!$B$2/500)*1*M392*INDEX(Impostazioni!$E$23:$E$29,MATCH(H392,Impostazioni!$D$23:$D$29,0))))</f>
        <v/>
      </c>
      <c r="J392" s="9">
        <f>MAX(1,TRUNC(L392*(Impostazioni!$B$2/500)*INDEX(Motore!$A$5:$H$8,MATCH(C392,Motore!$A$5:$A$8,0),8)*M392*INDEX(Impostazioni!$E$23:$E$29,MATCH(H392,Impostazioni!$D$23:$D$29,0))))</f>
        <v/>
      </c>
      <c r="K392" s="2" t="inlineStr">
        <is>
          <t>Scommessa / Sconosciuto</t>
        </is>
      </c>
      <c r="L392" s="2" t="n">
        <v>1</v>
      </c>
      <c r="M392" s="2" t="n">
        <v>1</v>
      </c>
    </row>
    <row r="393">
      <c r="A393" s="2" t="inlineStr">
        <is>
          <t>Messias</t>
        </is>
      </c>
      <c r="B393" s="2" t="inlineStr">
        <is>
          <t>Genoa</t>
        </is>
      </c>
      <c r="C393" s="2" t="inlineStr">
        <is>
          <t>C</t>
        </is>
      </c>
      <c r="D393" s="2" t="inlineStr">
        <is>
          <t>W/T</t>
        </is>
      </c>
      <c r="E393" s="2" t="n">
        <v>4</v>
      </c>
      <c r="F393" s="2" t="n">
        <v>1.05</v>
      </c>
      <c r="G393" s="2" t="n">
        <v>0.5</v>
      </c>
      <c r="H393" s="8" t="inlineStr">
        <is>
          <t>🪑 Riserva Fissa (da fasciaFc)</t>
        </is>
      </c>
      <c r="I393" s="2">
        <f>MAX(1,TRUNC(L393*(Impostazioni!$B$2/500)*1*M393*INDEX(Impostazioni!$E$23:$E$29,MATCH(H393,Impostazioni!$D$23:$D$29,0))))</f>
        <v/>
      </c>
      <c r="J393" s="9">
        <f>MAX(1,TRUNC(L393*(Impostazioni!$B$2/500)*INDEX(Motore!$A$5:$H$8,MATCH(C393,Motore!$A$5:$A$8,0),8)*M393*INDEX(Impostazioni!$E$23:$E$29,MATCH(H393,Impostazioni!$D$23:$D$29,0))))</f>
        <v/>
      </c>
      <c r="K393" s="2" t="inlineStr">
        <is>
          <t>Scommessa / Sconosciuto</t>
        </is>
      </c>
      <c r="L393" s="2" t="n">
        <v>1</v>
      </c>
      <c r="M393" s="2" t="n">
        <v>1</v>
      </c>
    </row>
    <row r="394">
      <c r="A394" s="2" t="inlineStr">
        <is>
          <t>Miller L.</t>
        </is>
      </c>
      <c r="B394" s="2" t="inlineStr">
        <is>
          <t>Udinese</t>
        </is>
      </c>
      <c r="C394" s="2" t="inlineStr">
        <is>
          <t>C</t>
        </is>
      </c>
      <c r="D394" s="2" t="inlineStr">
        <is>
          <t>M/C</t>
        </is>
      </c>
      <c r="E394" s="2" t="n">
        <v>4</v>
      </c>
      <c r="F394" s="2" t="n">
        <v>1.1</v>
      </c>
      <c r="G394" s="2" t="n">
        <v>0.5</v>
      </c>
      <c r="H394" s="8" t="inlineStr">
        <is>
          <t>🟡 Ballottaggio</t>
        </is>
      </c>
      <c r="I394" s="2">
        <f>MAX(1,TRUNC(L394*(Impostazioni!$B$2/500)*1*M394*INDEX(Impostazioni!$E$23:$E$29,MATCH(H394,Impostazioni!$D$23:$D$29,0))))</f>
        <v/>
      </c>
      <c r="J394" s="9">
        <f>MAX(1,TRUNC(L394*(Impostazioni!$B$2/500)*INDEX(Motore!$A$5:$H$8,MATCH(C394,Motore!$A$5:$A$8,0),8)*M394*INDEX(Impostazioni!$E$23:$E$29,MATCH(H394,Impostazioni!$D$23:$D$29,0))))</f>
        <v/>
      </c>
      <c r="K394" s="2" t="inlineStr">
        <is>
          <t>Scommessa / Sconosciuto</t>
        </is>
      </c>
      <c r="L394" s="2" t="n">
        <v>1</v>
      </c>
      <c r="M394" s="2" t="n">
        <v>1</v>
      </c>
    </row>
    <row r="395">
      <c r="A395" s="2" t="inlineStr">
        <is>
          <t>Mkhitaryan</t>
        </is>
      </c>
      <c r="B395" s="2" t="inlineStr">
        <is>
          <t>Inter</t>
        </is>
      </c>
      <c r="C395" s="2" t="inlineStr">
        <is>
          <t>C</t>
        </is>
      </c>
      <c r="D395" s="2" t="inlineStr">
        <is>
          <t>C</t>
        </is>
      </c>
      <c r="E395" s="2" t="n">
        <v>4</v>
      </c>
      <c r="F395" s="2" t="n">
        <v>1.2</v>
      </c>
      <c r="G395" s="2" t="n">
        <v>0.5</v>
      </c>
      <c r="H395" s="8" t="inlineStr">
        <is>
          <t>🪑 Riserva Fissa (da fasciaFc)</t>
        </is>
      </c>
      <c r="I395" s="2">
        <f>MAX(1,TRUNC(L395*(Impostazioni!$B$2/500)*1*M395*INDEX(Impostazioni!$E$23:$E$29,MATCH(H395,Impostazioni!$D$23:$D$29,0))))</f>
        <v/>
      </c>
      <c r="J395" s="9">
        <f>MAX(1,TRUNC(L395*(Impostazioni!$B$2/500)*INDEX(Motore!$A$5:$H$8,MATCH(C395,Motore!$A$5:$A$8,0),8)*M395*INDEX(Impostazioni!$E$23:$E$29,MATCH(H395,Impostazioni!$D$23:$D$29,0))))</f>
        <v/>
      </c>
      <c r="K395" s="2" t="inlineStr">
        <is>
          <t>Scommessa / Sconosciuto</t>
        </is>
      </c>
      <c r="L395" s="2" t="n">
        <v>1</v>
      </c>
      <c r="M395" s="2" t="n">
        <v>1</v>
      </c>
    </row>
    <row r="396">
      <c r="A396" s="2" t="inlineStr">
        <is>
          <t>Moro N.</t>
        </is>
      </c>
      <c r="B396" s="2" t="inlineStr">
        <is>
          <t>Bologna</t>
        </is>
      </c>
      <c r="C396" s="2" t="inlineStr">
        <is>
          <t>C</t>
        </is>
      </c>
      <c r="D396" s="2" t="inlineStr">
        <is>
          <t>M/C</t>
        </is>
      </c>
      <c r="E396" s="2" t="n">
        <v>4</v>
      </c>
      <c r="F396" s="2" t="n">
        <v>0.95</v>
      </c>
      <c r="G396" s="2" t="n">
        <v>0.5</v>
      </c>
      <c r="H396" s="8" t="inlineStr">
        <is>
          <t>Normale</t>
        </is>
      </c>
      <c r="I396" s="2">
        <f>MAX(1,TRUNC(L396*(Impostazioni!$B$2/500)*1*M396*INDEX(Impostazioni!$E$23:$E$29,MATCH(H396,Impostazioni!$D$23:$D$29,0))))</f>
        <v/>
      </c>
      <c r="J396" s="9">
        <f>MAX(1,TRUNC(L396*(Impostazioni!$B$2/500)*INDEX(Motore!$A$5:$H$8,MATCH(C396,Motore!$A$5:$A$8,0),8)*M396*INDEX(Impostazioni!$E$23:$E$29,MATCH(H396,Impostazioni!$D$23:$D$29,0))))</f>
        <v/>
      </c>
      <c r="K396" s="2" t="inlineStr">
        <is>
          <t>Scommessa / Sconosciuto</t>
        </is>
      </c>
      <c r="L396" s="2" t="n">
        <v>1</v>
      </c>
      <c r="M396" s="2" t="n">
        <v>1</v>
      </c>
    </row>
    <row r="397">
      <c r="A397" s="2" t="inlineStr">
        <is>
          <t>Ngom</t>
        </is>
      </c>
      <c r="B397" s="2" t="inlineStr">
        <is>
          <t>Lecce</t>
        </is>
      </c>
      <c r="C397" s="2" t="inlineStr">
        <is>
          <t>C</t>
        </is>
      </c>
      <c r="D397" s="2" t="inlineStr">
        <is>
          <t>M/C</t>
        </is>
      </c>
      <c r="E397" s="2" t="n">
        <v>4</v>
      </c>
      <c r="F397" s="2" t="n">
        <v>1</v>
      </c>
      <c r="G397" s="2" t="n">
        <v>0.5</v>
      </c>
      <c r="H397" s="8" t="inlineStr">
        <is>
          <t>Normale</t>
        </is>
      </c>
      <c r="I397" s="2">
        <f>MAX(1,TRUNC(L397*(Impostazioni!$B$2/500)*1*M397*INDEX(Impostazioni!$E$23:$E$29,MATCH(H397,Impostazioni!$D$23:$D$29,0))))</f>
        <v/>
      </c>
      <c r="J397" s="9">
        <f>MAX(1,TRUNC(L397*(Impostazioni!$B$2/500)*INDEX(Motore!$A$5:$H$8,MATCH(C397,Motore!$A$5:$A$8,0),8)*M397*INDEX(Impostazioni!$E$23:$E$29,MATCH(H397,Impostazioni!$D$23:$D$29,0))))</f>
        <v/>
      </c>
      <c r="K397" s="2" t="inlineStr">
        <is>
          <t>Scommessa / Sconosciuto</t>
        </is>
      </c>
      <c r="L397" s="2" t="n">
        <v>1</v>
      </c>
      <c r="M397" s="2" t="n">
        <v>1</v>
      </c>
    </row>
    <row r="398">
      <c r="A398" s="2" t="inlineStr">
        <is>
          <t>Njie</t>
        </is>
      </c>
      <c r="B398" s="2" t="inlineStr">
        <is>
          <t>Fiorentina</t>
        </is>
      </c>
      <c r="C398" s="2" t="inlineStr">
        <is>
          <t>C</t>
        </is>
      </c>
      <c r="D398" s="2" t="inlineStr">
        <is>
          <t>W/A</t>
        </is>
      </c>
      <c r="E398" s="2" t="n">
        <v>4</v>
      </c>
      <c r="F398" s="2" t="n">
        <v>1.8</v>
      </c>
      <c r="G398" s="2" t="n">
        <v>0.5</v>
      </c>
      <c r="H398" s="8" t="inlineStr">
        <is>
          <t>Normale</t>
        </is>
      </c>
      <c r="I398" s="2">
        <f>MAX(1,TRUNC(L398*(Impostazioni!$B$2/500)*1*M398*INDEX(Impostazioni!$E$23:$E$29,MATCH(H398,Impostazioni!$D$23:$D$29,0))))</f>
        <v/>
      </c>
      <c r="J398" s="9">
        <f>MAX(1,TRUNC(L398*(Impostazioni!$B$2/500)*INDEX(Motore!$A$5:$H$8,MATCH(C398,Motore!$A$5:$A$8,0),8)*M398*INDEX(Impostazioni!$E$23:$E$29,MATCH(H398,Impostazioni!$D$23:$D$29,0))))</f>
        <v/>
      </c>
      <c r="K398" s="2" t="inlineStr">
        <is>
          <t>Scommessa / Sconosciuto</t>
        </is>
      </c>
      <c r="L398" s="2" t="n">
        <v>1</v>
      </c>
      <c r="M398" s="2" t="n">
        <v>1</v>
      </c>
    </row>
    <row r="399">
      <c r="A399" s="2" t="inlineStr">
        <is>
          <t>Ricci S.</t>
        </is>
      </c>
      <c r="B399" s="2" t="inlineStr">
        <is>
          <t>Como</t>
        </is>
      </c>
      <c r="C399" s="2" t="inlineStr">
        <is>
          <t>C</t>
        </is>
      </c>
      <c r="D399" s="2" t="inlineStr">
        <is>
          <t>M/C</t>
        </is>
      </c>
      <c r="E399" s="2" t="n">
        <v>4</v>
      </c>
      <c r="F399" s="2" t="n">
        <v>1.25</v>
      </c>
      <c r="G399" s="2" t="n">
        <v>0.5</v>
      </c>
      <c r="H399" s="8" t="inlineStr">
        <is>
          <t>Normale</t>
        </is>
      </c>
      <c r="I399" s="2">
        <f>MAX(1,TRUNC(L399*(Impostazioni!$B$2/500)*1*M399*INDEX(Impostazioni!$E$23:$E$29,MATCH(H399,Impostazioni!$D$23:$D$29,0))))</f>
        <v/>
      </c>
      <c r="J399" s="9">
        <f>MAX(1,TRUNC(L399*(Impostazioni!$B$2/500)*INDEX(Motore!$A$5:$H$8,MATCH(C399,Motore!$A$5:$A$8,0),8)*M399*INDEX(Impostazioni!$E$23:$E$29,MATCH(H399,Impostazioni!$D$23:$D$29,0))))</f>
        <v/>
      </c>
      <c r="K399" s="2" t="inlineStr">
        <is>
          <t>Scommessa / Sconosciuto</t>
        </is>
      </c>
      <c r="L399" s="2" t="n">
        <v>1</v>
      </c>
      <c r="M399" s="2" t="n">
        <v>1</v>
      </c>
    </row>
    <row r="400">
      <c r="A400" s="2" t="inlineStr">
        <is>
          <t>Traorè Hj.</t>
        </is>
      </c>
      <c r="B400" s="2" t="inlineStr">
        <is>
          <t>Genoa</t>
        </is>
      </c>
      <c r="C400" s="2" t="inlineStr">
        <is>
          <t>C</t>
        </is>
      </c>
      <c r="D400" s="2" t="inlineStr">
        <is>
          <t>W/T</t>
        </is>
      </c>
      <c r="E400" s="2" t="n">
        <v>4</v>
      </c>
      <c r="F400" s="2" t="n">
        <v>1.2</v>
      </c>
      <c r="G400" s="2" t="n">
        <v>0.5</v>
      </c>
      <c r="H400" s="8" t="inlineStr">
        <is>
          <t>Normale</t>
        </is>
      </c>
      <c r="I400" s="2">
        <f>MAX(1,TRUNC(L400*(Impostazioni!$B$2/500)*1*M400*INDEX(Impostazioni!$E$23:$E$29,MATCH(H400,Impostazioni!$D$23:$D$29,0))))</f>
        <v/>
      </c>
      <c r="J400" s="9">
        <f>MAX(1,TRUNC(L400*(Impostazioni!$B$2/500)*INDEX(Motore!$A$5:$H$8,MATCH(C400,Motore!$A$5:$A$8,0),8)*M400*INDEX(Impostazioni!$E$23:$E$29,MATCH(H400,Impostazioni!$D$23:$D$29,0))))</f>
        <v/>
      </c>
      <c r="K400" s="2" t="inlineStr">
        <is>
          <t>Scommessa / Sconosciuto</t>
        </is>
      </c>
      <c r="L400" s="2" t="n">
        <v>1</v>
      </c>
      <c r="M400" s="2" t="n">
        <v>1</v>
      </c>
    </row>
    <row r="401">
      <c r="A401" s="2" t="inlineStr">
        <is>
          <t>Aboukhlal</t>
        </is>
      </c>
      <c r="B401" s="2" t="inlineStr">
        <is>
          <t>Torino</t>
        </is>
      </c>
      <c r="C401" s="2" t="inlineStr">
        <is>
          <t>C</t>
        </is>
      </c>
      <c r="D401" s="2" t="inlineStr">
        <is>
          <t>W;A</t>
        </is>
      </c>
      <c r="E401" s="2" t="n">
        <v>3</v>
      </c>
      <c r="F401" s="2" t="n">
        <v>0.9</v>
      </c>
      <c r="G401" s="2" t="n">
        <v>0.5</v>
      </c>
      <c r="H401" s="8" t="inlineStr">
        <is>
          <t>🪑 Riserva Fissa (da fasciaFc)</t>
        </is>
      </c>
      <c r="I401" s="2">
        <f>MAX(1,TRUNC(L401*(Impostazioni!$B$2/500)*1*M401*INDEX(Impostazioni!$E$23:$E$29,MATCH(H401,Impostazioni!$D$23:$D$29,0))))</f>
        <v/>
      </c>
      <c r="J401" s="9">
        <f>MAX(1,TRUNC(L401*(Impostazioni!$B$2/500)*INDEX(Motore!$A$5:$H$8,MATCH(C401,Motore!$A$5:$A$8,0),8)*M401*INDEX(Impostazioni!$E$23:$E$29,MATCH(H401,Impostazioni!$D$23:$D$29,0))))</f>
        <v/>
      </c>
      <c r="K401" s="2" t="inlineStr">
        <is>
          <t>Scommessa / Sconosciuto</t>
        </is>
      </c>
      <c r="L401" s="2" t="n">
        <v>1</v>
      </c>
      <c r="M401" s="2" t="n">
        <v>1</v>
      </c>
    </row>
    <row r="402">
      <c r="A402" s="2" t="inlineStr">
        <is>
          <t>Brescianini</t>
        </is>
      </c>
      <c r="B402" s="2" t="inlineStr">
        <is>
          <t>Fiorentina</t>
        </is>
      </c>
      <c r="C402" s="2" t="inlineStr">
        <is>
          <t>C</t>
        </is>
      </c>
      <c r="D402" s="2" t="inlineStr">
        <is>
          <t>C/T</t>
        </is>
      </c>
      <c r="E402" s="2" t="n">
        <v>3</v>
      </c>
      <c r="F402" s="2" t="n">
        <v>1.15</v>
      </c>
      <c r="G402" s="2" t="n">
        <v>0.5</v>
      </c>
      <c r="H402" s="8" t="inlineStr">
        <is>
          <t>🪑 Riserva Fissa (da fasciaFc)</t>
        </is>
      </c>
      <c r="I402" s="2">
        <f>MAX(1,TRUNC(L402*(Impostazioni!$B$2/500)*1*M402*INDEX(Impostazioni!$E$23:$E$29,MATCH(H402,Impostazioni!$D$23:$D$29,0))))</f>
        <v/>
      </c>
      <c r="J402" s="9">
        <f>MAX(1,TRUNC(L402*(Impostazioni!$B$2/500)*INDEX(Motore!$A$5:$H$8,MATCH(C402,Motore!$A$5:$A$8,0),8)*M402*INDEX(Impostazioni!$E$23:$E$29,MATCH(H402,Impostazioni!$D$23:$D$29,0))))</f>
        <v/>
      </c>
      <c r="K402" s="2" t="inlineStr">
        <is>
          <t>Scommessa / Sconosciuto</t>
        </is>
      </c>
      <c r="L402" s="2" t="n">
        <v>1</v>
      </c>
      <c r="M402" s="2" t="n">
        <v>1</v>
      </c>
    </row>
    <row r="403">
      <c r="A403" s="2" t="inlineStr">
        <is>
          <t>Colombo L.</t>
        </is>
      </c>
      <c r="B403" s="2" t="inlineStr">
        <is>
          <t>Monza</t>
        </is>
      </c>
      <c r="C403" s="2" t="inlineStr">
        <is>
          <t>C</t>
        </is>
      </c>
      <c r="D403" s="2" t="inlineStr">
        <is>
          <t>M/C</t>
        </is>
      </c>
      <c r="E403" s="2" t="n">
        <v>3</v>
      </c>
      <c r="F403" s="2" t="n">
        <v>1</v>
      </c>
      <c r="G403" s="2" t="n">
        <v>0.5</v>
      </c>
      <c r="H403" s="8" t="inlineStr">
        <is>
          <t>🔴 Infortunato/Dubbio</t>
        </is>
      </c>
      <c r="I403" s="2">
        <f>MAX(1,TRUNC(L403*(Impostazioni!$B$2/500)*1*M403*INDEX(Impostazioni!$E$23:$E$29,MATCH(H403,Impostazioni!$D$23:$D$29,0))))</f>
        <v/>
      </c>
      <c r="J403" s="9">
        <f>MAX(1,TRUNC(L403*(Impostazioni!$B$2/500)*INDEX(Motore!$A$5:$H$8,MATCH(C403,Motore!$A$5:$A$8,0),8)*M403*INDEX(Impostazioni!$E$23:$E$29,MATCH(H403,Impostazioni!$D$23:$D$29,0))))</f>
        <v/>
      </c>
      <c r="K403" s="2" t="inlineStr">
        <is>
          <t>Scommessa / Sconosciuto</t>
        </is>
      </c>
      <c r="L403" s="2" t="n">
        <v>1</v>
      </c>
      <c r="M403" s="2" t="n">
        <v>1</v>
      </c>
    </row>
    <row r="404">
      <c r="A404" s="2" t="inlineStr">
        <is>
          <t>Deiola</t>
        </is>
      </c>
      <c r="B404" s="2" t="inlineStr">
        <is>
          <t>Cagliari</t>
        </is>
      </c>
      <c r="C404" s="2" t="inlineStr">
        <is>
          <t>C</t>
        </is>
      </c>
      <c r="D404" s="2" t="inlineStr">
        <is>
          <t>M/C</t>
        </is>
      </c>
      <c r="E404" s="2" t="n">
        <v>3</v>
      </c>
      <c r="F404" s="2" t="n">
        <v>1.15</v>
      </c>
      <c r="G404" s="2" t="n">
        <v>0.5</v>
      </c>
      <c r="H404" s="8" t="inlineStr">
        <is>
          <t>🟡 Ballottaggio</t>
        </is>
      </c>
      <c r="I404" s="2">
        <f>MAX(1,TRUNC(L404*(Impostazioni!$B$2/500)*1*M404*INDEX(Impostazioni!$E$23:$E$29,MATCH(H404,Impostazioni!$D$23:$D$29,0))))</f>
        <v/>
      </c>
      <c r="J404" s="9">
        <f>MAX(1,TRUNC(L404*(Impostazioni!$B$2/500)*INDEX(Motore!$A$5:$H$8,MATCH(C404,Motore!$A$5:$A$8,0),8)*M404*INDEX(Impostazioni!$E$23:$E$29,MATCH(H404,Impostazioni!$D$23:$D$29,0))))</f>
        <v/>
      </c>
      <c r="K404" s="2" t="inlineStr">
        <is>
          <t>Scommessa / Sconosciuto</t>
        </is>
      </c>
      <c r="L404" s="2" t="n">
        <v>1</v>
      </c>
      <c r="M404" s="2" t="n">
        <v>1</v>
      </c>
    </row>
    <row r="405">
      <c r="A405" s="2" t="inlineStr">
        <is>
          <t>Diallo O.</t>
        </is>
      </c>
      <c r="B405" s="2" t="inlineStr">
        <is>
          <t>Parma</t>
        </is>
      </c>
      <c r="C405" s="2" t="inlineStr">
        <is>
          <t>C</t>
        </is>
      </c>
      <c r="D405" s="2" t="inlineStr">
        <is>
          <t>W/A</t>
        </is>
      </c>
      <c r="E405" s="2" t="n">
        <v>3</v>
      </c>
      <c r="F405" s="2" t="n">
        <v>0.9</v>
      </c>
      <c r="G405" s="2" t="n">
        <v>0.5</v>
      </c>
      <c r="H405" s="8" t="inlineStr">
        <is>
          <t>Normale</t>
        </is>
      </c>
      <c r="I405" s="2">
        <f>MAX(1,TRUNC(L405*(Impostazioni!$B$2/500)*1*M405*INDEX(Impostazioni!$E$23:$E$29,MATCH(H405,Impostazioni!$D$23:$D$29,0))))</f>
        <v/>
      </c>
      <c r="J405" s="9">
        <f>MAX(1,TRUNC(L405*(Impostazioni!$B$2/500)*INDEX(Motore!$A$5:$H$8,MATCH(C405,Motore!$A$5:$A$8,0),8)*M405*INDEX(Impostazioni!$E$23:$E$29,MATCH(H405,Impostazioni!$D$23:$D$29,0))))</f>
        <v/>
      </c>
      <c r="K405" s="2" t="inlineStr">
        <is>
          <t>Scommessa / Sconosciuto</t>
        </is>
      </c>
      <c r="L405" s="2" t="n">
        <v>1</v>
      </c>
      <c r="M405" s="2" t="n">
        <v>1</v>
      </c>
    </row>
    <row r="406">
      <c r="A406" s="2" t="inlineStr">
        <is>
          <t>Fernandez T.</t>
        </is>
      </c>
      <c r="B406" s="2" t="inlineStr">
        <is>
          <t>Venezia</t>
        </is>
      </c>
      <c r="C406" s="2" t="inlineStr">
        <is>
          <t>C</t>
        </is>
      </c>
      <c r="D406" s="2" t="inlineStr">
        <is>
          <t>T/A</t>
        </is>
      </c>
      <c r="E406" s="2" t="n">
        <v>3</v>
      </c>
      <c r="F406" s="2" t="n">
        <v>1.05</v>
      </c>
      <c r="G406" s="2" t="n">
        <v>0.5</v>
      </c>
      <c r="H406" s="8" t="inlineStr">
        <is>
          <t>🟡 Ballottaggio</t>
        </is>
      </c>
      <c r="I406" s="2">
        <f>MAX(1,TRUNC(L406*(Impostazioni!$B$2/500)*1*M406*INDEX(Impostazioni!$E$23:$E$29,MATCH(H406,Impostazioni!$D$23:$D$29,0))))</f>
        <v/>
      </c>
      <c r="J406" s="9">
        <f>MAX(1,TRUNC(L406*(Impostazioni!$B$2/500)*INDEX(Motore!$A$5:$H$8,MATCH(C406,Motore!$A$5:$A$8,0),8)*M406*INDEX(Impostazioni!$E$23:$E$29,MATCH(H406,Impostazioni!$D$23:$D$29,0))))</f>
        <v/>
      </c>
      <c r="K406" s="2" t="inlineStr">
        <is>
          <t>Scommessa / Sconosciuto</t>
        </is>
      </c>
      <c r="L406" s="2" t="n">
        <v>1</v>
      </c>
      <c r="M406" s="2" t="n">
        <v>1</v>
      </c>
    </row>
    <row r="407">
      <c r="A407" s="2" t="inlineStr">
        <is>
          <t>Gagliardini</t>
        </is>
      </c>
      <c r="B407" s="2" t="inlineStr">
        <is>
          <t>Cagliari</t>
        </is>
      </c>
      <c r="C407" s="2" t="inlineStr">
        <is>
          <t>C</t>
        </is>
      </c>
      <c r="D407" s="2" t="inlineStr">
        <is>
          <t>M;C</t>
        </is>
      </c>
      <c r="E407" s="2" t="n">
        <v>3</v>
      </c>
      <c r="F407" s="2" t="n">
        <v>0.75</v>
      </c>
      <c r="G407" s="2" t="n">
        <v>0.5</v>
      </c>
      <c r="H407" s="8" t="inlineStr">
        <is>
          <t>🪑 Riserva Fissa (da fasciaFc)</t>
        </is>
      </c>
      <c r="I407" s="2">
        <f>MAX(1,TRUNC(L407*(Impostazioni!$B$2/500)*1*M407*INDEX(Impostazioni!$E$23:$E$29,MATCH(H407,Impostazioni!$D$23:$D$29,0))))</f>
        <v/>
      </c>
      <c r="J407" s="9">
        <f>MAX(1,TRUNC(L407*(Impostazioni!$B$2/500)*INDEX(Motore!$A$5:$H$8,MATCH(C407,Motore!$A$5:$A$8,0),8)*M407*INDEX(Impostazioni!$E$23:$E$29,MATCH(H407,Impostazioni!$D$23:$D$29,0))))</f>
        <v/>
      </c>
      <c r="K407" s="2" t="inlineStr">
        <is>
          <t>Scommessa / Sconosciuto</t>
        </is>
      </c>
      <c r="L407" s="2" t="n">
        <v>1</v>
      </c>
      <c r="M407" s="2" t="n">
        <v>1</v>
      </c>
    </row>
    <row r="408">
      <c r="A408" s="2" t="inlineStr">
        <is>
          <t>Gelli F.</t>
        </is>
      </c>
      <c r="B408" s="2" t="inlineStr">
        <is>
          <t>Frosinone</t>
        </is>
      </c>
      <c r="C408" s="2" t="inlineStr">
        <is>
          <t>C</t>
        </is>
      </c>
      <c r="D408" s="2" t="inlineStr">
        <is>
          <t>C;T</t>
        </is>
      </c>
      <c r="E408" s="2" t="n">
        <v>3</v>
      </c>
      <c r="F408" s="2" t="n">
        <v>0.5</v>
      </c>
      <c r="G408" s="2" t="n">
        <v>0.5</v>
      </c>
      <c r="H408" s="8" t="inlineStr">
        <is>
          <t>🪑 Riserva Fissa (da fasciaFc)</t>
        </is>
      </c>
      <c r="I408" s="2">
        <f>MAX(1,TRUNC(L408*(Impostazioni!$B$2/500)*1*M408*INDEX(Impostazioni!$E$23:$E$29,MATCH(H408,Impostazioni!$D$23:$D$29,0))))</f>
        <v/>
      </c>
      <c r="J408" s="9">
        <f>MAX(1,TRUNC(L408*(Impostazioni!$B$2/500)*INDEX(Motore!$A$5:$H$8,MATCH(C408,Motore!$A$5:$A$8,0),8)*M408*INDEX(Impostazioni!$E$23:$E$29,MATCH(H408,Impostazioni!$D$23:$D$29,0))))</f>
        <v/>
      </c>
      <c r="K408" s="2" t="inlineStr">
        <is>
          <t>Scommessa / Sconosciuto</t>
        </is>
      </c>
      <c r="L408" s="2" t="n">
        <v>1</v>
      </c>
      <c r="M408" s="2" t="n">
        <v>1</v>
      </c>
    </row>
    <row r="409">
      <c r="A409" s="2" t="inlineStr">
        <is>
          <t>Gilmour</t>
        </is>
      </c>
      <c r="B409" s="2" t="inlineStr">
        <is>
          <t>Napoli</t>
        </is>
      </c>
      <c r="C409" s="2" t="inlineStr">
        <is>
          <t>C</t>
        </is>
      </c>
      <c r="D409" s="2" t="inlineStr">
        <is>
          <t>M/C</t>
        </is>
      </c>
      <c r="E409" s="2" t="n">
        <v>3</v>
      </c>
      <c r="F409" s="2" t="n">
        <v>0.85</v>
      </c>
      <c r="G409" s="2" t="n">
        <v>0.5</v>
      </c>
      <c r="H409" s="8" t="inlineStr">
        <is>
          <t>🪑 Riserva Fissa (da fasciaFc)</t>
        </is>
      </c>
      <c r="I409" s="2">
        <f>MAX(1,TRUNC(L409*(Impostazioni!$B$2/500)*1*M409*INDEX(Impostazioni!$E$23:$E$29,MATCH(H409,Impostazioni!$D$23:$D$29,0))))</f>
        <v/>
      </c>
      <c r="J409" s="9">
        <f>MAX(1,TRUNC(L409*(Impostazioni!$B$2/500)*INDEX(Motore!$A$5:$H$8,MATCH(C409,Motore!$A$5:$A$8,0),8)*M409*INDEX(Impostazioni!$E$23:$E$29,MATCH(H409,Impostazioni!$D$23:$D$29,0))))</f>
        <v/>
      </c>
      <c r="K409" s="2" t="inlineStr">
        <is>
          <t>Scommessa / Sconosciuto</t>
        </is>
      </c>
      <c r="L409" s="2" t="n">
        <v>1</v>
      </c>
      <c r="M409" s="2" t="n">
        <v>1</v>
      </c>
    </row>
    <row r="410">
      <c r="A410" s="2" t="inlineStr">
        <is>
          <t>Gorter</t>
        </is>
      </c>
      <c r="B410" s="2" t="inlineStr">
        <is>
          <t>Lecce</t>
        </is>
      </c>
      <c r="C410" s="2" t="inlineStr">
        <is>
          <t>C</t>
        </is>
      </c>
      <c r="D410" s="2" t="inlineStr">
        <is>
          <t>M/C</t>
        </is>
      </c>
      <c r="E410" s="2" t="n">
        <v>3</v>
      </c>
      <c r="F410" s="2" t="n">
        <v>1.1</v>
      </c>
      <c r="G410" s="2" t="n">
        <v>0.5</v>
      </c>
      <c r="H410" s="8" t="inlineStr">
        <is>
          <t>🟡 Ballottaggio</t>
        </is>
      </c>
      <c r="I410" s="2">
        <f>MAX(1,TRUNC(L410*(Impostazioni!$B$2/500)*1*M410*INDEX(Impostazioni!$E$23:$E$29,MATCH(H410,Impostazioni!$D$23:$D$29,0))))</f>
        <v/>
      </c>
      <c r="J410" s="9">
        <f>MAX(1,TRUNC(L410*(Impostazioni!$B$2/500)*INDEX(Motore!$A$5:$H$8,MATCH(C410,Motore!$A$5:$A$8,0),8)*M410*INDEX(Impostazioni!$E$23:$E$29,MATCH(H410,Impostazioni!$D$23:$D$29,0))))</f>
        <v/>
      </c>
      <c r="K410" s="2" t="inlineStr">
        <is>
          <t>Scommessa / Sconosciuto</t>
        </is>
      </c>
      <c r="L410" s="2" t="n">
        <v>1</v>
      </c>
      <c r="M410" s="2" t="n">
        <v>1</v>
      </c>
    </row>
    <row r="411">
      <c r="A411" s="2" t="inlineStr">
        <is>
          <t>Helgason</t>
        </is>
      </c>
      <c r="B411" s="2" t="inlineStr">
        <is>
          <t>Venezia</t>
        </is>
      </c>
      <c r="C411" s="2" t="inlineStr">
        <is>
          <t>C</t>
        </is>
      </c>
      <c r="D411" s="2" t="inlineStr">
        <is>
          <t>C;T</t>
        </is>
      </c>
      <c r="E411" s="2" t="n">
        <v>3</v>
      </c>
      <c r="F411" s="2" t="n">
        <v>0.5</v>
      </c>
      <c r="G411" s="2" t="n">
        <v>0.5</v>
      </c>
      <c r="H411" s="8" t="inlineStr">
        <is>
          <t>Normale</t>
        </is>
      </c>
      <c r="I411" s="2">
        <f>MAX(1,TRUNC(L411*(Impostazioni!$B$2/500)*1*M411*INDEX(Impostazioni!$E$23:$E$29,MATCH(H411,Impostazioni!$D$23:$D$29,0))))</f>
        <v/>
      </c>
      <c r="J411" s="9">
        <f>MAX(1,TRUNC(L411*(Impostazioni!$B$2/500)*INDEX(Motore!$A$5:$H$8,MATCH(C411,Motore!$A$5:$A$8,0),8)*M411*INDEX(Impostazioni!$E$23:$E$29,MATCH(H411,Impostazioni!$D$23:$D$29,0))))</f>
        <v/>
      </c>
      <c r="K411" s="2" t="inlineStr">
        <is>
          <t>Scommessa / Sconosciuto</t>
        </is>
      </c>
      <c r="L411" s="2" t="n">
        <v>1</v>
      </c>
      <c r="M411" s="2" t="n">
        <v>1</v>
      </c>
    </row>
    <row r="412">
      <c r="A412" s="2" t="inlineStr">
        <is>
          <t>Maleh</t>
        </is>
      </c>
      <c r="B412" s="2" t="inlineStr">
        <is>
          <t>Lecce</t>
        </is>
      </c>
      <c r="C412" s="2" t="inlineStr">
        <is>
          <t>C</t>
        </is>
      </c>
      <c r="D412" s="2" t="inlineStr">
        <is>
          <t>M/C</t>
        </is>
      </c>
      <c r="E412" s="2" t="n">
        <v>3</v>
      </c>
      <c r="F412" s="2" t="n">
        <v>1.05</v>
      </c>
      <c r="G412" s="2" t="n">
        <v>0.5</v>
      </c>
      <c r="H412" s="8" t="inlineStr">
        <is>
          <t>🪑 Riserva Fissa (da fasciaFc)</t>
        </is>
      </c>
      <c r="I412" s="2">
        <f>MAX(1,TRUNC(L412*(Impostazioni!$B$2/500)*1*M412*INDEX(Impostazioni!$E$23:$E$29,MATCH(H412,Impostazioni!$D$23:$D$29,0))))</f>
        <v/>
      </c>
      <c r="J412" s="9">
        <f>MAX(1,TRUNC(L412*(Impostazioni!$B$2/500)*INDEX(Motore!$A$5:$H$8,MATCH(C412,Motore!$A$5:$A$8,0),8)*M412*INDEX(Impostazioni!$E$23:$E$29,MATCH(H412,Impostazioni!$D$23:$D$29,0))))</f>
        <v/>
      </c>
      <c r="K412" s="2" t="inlineStr">
        <is>
          <t>Scommessa / Sconosciuto</t>
        </is>
      </c>
      <c r="L412" s="2" t="n">
        <v>1</v>
      </c>
      <c r="M412" s="2" t="n">
        <v>1</v>
      </c>
    </row>
    <row r="413">
      <c r="A413" s="2" t="inlineStr">
        <is>
          <t>Masini</t>
        </is>
      </c>
      <c r="B413" s="2" t="inlineStr">
        <is>
          <t>Frosinone</t>
        </is>
      </c>
      <c r="C413" s="2" t="inlineStr">
        <is>
          <t>C</t>
        </is>
      </c>
      <c r="D413" s="2" t="inlineStr">
        <is>
          <t>M/C</t>
        </is>
      </c>
      <c r="E413" s="2" t="n">
        <v>3</v>
      </c>
      <c r="F413" s="2" t="n">
        <v>1.2</v>
      </c>
      <c r="G413" s="2" t="n">
        <v>0.5</v>
      </c>
      <c r="H413" s="8" t="inlineStr">
        <is>
          <t>🟡 Ballottaggio</t>
        </is>
      </c>
      <c r="I413" s="2">
        <f>MAX(1,TRUNC(L413*(Impostazioni!$B$2/500)*1*M413*INDEX(Impostazioni!$E$23:$E$29,MATCH(H413,Impostazioni!$D$23:$D$29,0))))</f>
        <v/>
      </c>
      <c r="J413" s="9">
        <f>MAX(1,TRUNC(L413*(Impostazioni!$B$2/500)*INDEX(Motore!$A$5:$H$8,MATCH(C413,Motore!$A$5:$A$8,0),8)*M413*INDEX(Impostazioni!$E$23:$E$29,MATCH(H413,Impostazioni!$D$23:$D$29,0))))</f>
        <v/>
      </c>
      <c r="K413" s="2" t="inlineStr">
        <is>
          <t>Scommessa / Sconosciuto</t>
        </is>
      </c>
      <c r="L413" s="2" t="n">
        <v>1</v>
      </c>
      <c r="M413" s="2" t="n">
        <v>1</v>
      </c>
    </row>
    <row r="414">
      <c r="A414" s="2" t="inlineStr">
        <is>
          <t>Musah</t>
        </is>
      </c>
      <c r="B414" s="2" t="inlineStr">
        <is>
          <t>Milan</t>
        </is>
      </c>
      <c r="C414" s="2" t="inlineStr">
        <is>
          <t>C</t>
        </is>
      </c>
      <c r="D414" s="2" t="inlineStr">
        <is>
          <t>C/W</t>
        </is>
      </c>
      <c r="E414" s="2" t="n">
        <v>3</v>
      </c>
      <c r="F414" s="2" t="n">
        <v>1.3</v>
      </c>
      <c r="G414" s="2" t="n">
        <v>0.5</v>
      </c>
      <c r="H414" s="8" t="inlineStr">
        <is>
          <t>🟡 Ballottaggio</t>
        </is>
      </c>
      <c r="I414" s="2">
        <f>MAX(1,TRUNC(L414*(Impostazioni!$B$2/500)*1*M414*INDEX(Impostazioni!$E$23:$E$29,MATCH(H414,Impostazioni!$D$23:$D$29,0))))</f>
        <v/>
      </c>
      <c r="J414" s="9">
        <f>MAX(1,TRUNC(L414*(Impostazioni!$B$2/500)*INDEX(Motore!$A$5:$H$8,MATCH(C414,Motore!$A$5:$A$8,0),8)*M414*INDEX(Impostazioni!$E$23:$E$29,MATCH(H414,Impostazioni!$D$23:$D$29,0))))</f>
        <v/>
      </c>
      <c r="K414" s="2" t="inlineStr">
        <is>
          <t>Scommessa / Sconosciuto</t>
        </is>
      </c>
      <c r="L414" s="2" t="n">
        <v>1</v>
      </c>
      <c r="M414" s="2" t="n">
        <v>1</v>
      </c>
    </row>
    <row r="415">
      <c r="A415" s="2" t="inlineStr">
        <is>
          <t>Ordonez C.</t>
        </is>
      </c>
      <c r="B415" s="2" t="inlineStr">
        <is>
          <t>Parma</t>
        </is>
      </c>
      <c r="C415" s="2" t="inlineStr">
        <is>
          <t>C</t>
        </is>
      </c>
      <c r="D415" s="2" t="inlineStr">
        <is>
          <t>M/C</t>
        </is>
      </c>
      <c r="E415" s="2" t="n">
        <v>3</v>
      </c>
      <c r="F415" s="2" t="n">
        <v>1.1</v>
      </c>
      <c r="G415" s="2" t="n">
        <v>0.5</v>
      </c>
      <c r="H415" s="8" t="inlineStr">
        <is>
          <t>🟡 Ballottaggio</t>
        </is>
      </c>
      <c r="I415" s="2">
        <f>MAX(1,TRUNC(L415*(Impostazioni!$B$2/500)*1*M415*INDEX(Impostazioni!$E$23:$E$29,MATCH(H415,Impostazioni!$D$23:$D$29,0))))</f>
        <v/>
      </c>
      <c r="J415" s="9">
        <f>MAX(1,TRUNC(L415*(Impostazioni!$B$2/500)*INDEX(Motore!$A$5:$H$8,MATCH(C415,Motore!$A$5:$A$8,0),8)*M415*INDEX(Impostazioni!$E$23:$E$29,MATCH(H415,Impostazioni!$D$23:$D$29,0))))</f>
        <v/>
      </c>
      <c r="K415" s="2" t="inlineStr">
        <is>
          <t>Scommessa / Sconosciuto</t>
        </is>
      </c>
      <c r="L415" s="2" t="n">
        <v>1</v>
      </c>
      <c r="M415" s="2" t="n">
        <v>1</v>
      </c>
    </row>
    <row r="416">
      <c r="A416" s="2" t="inlineStr">
        <is>
          <t>Stankovic A.</t>
        </is>
      </c>
      <c r="B416" s="2" t="inlineStr">
        <is>
          <t>Inter</t>
        </is>
      </c>
      <c r="C416" s="2" t="inlineStr">
        <is>
          <t>C</t>
        </is>
      </c>
      <c r="D416" s="2" t="inlineStr">
        <is>
          <t>M/C</t>
        </is>
      </c>
      <c r="E416" s="2" t="n">
        <v>3</v>
      </c>
      <c r="F416" s="2" t="n">
        <v>1.25</v>
      </c>
      <c r="G416" s="2" t="n">
        <v>0.5</v>
      </c>
      <c r="H416" s="8" t="inlineStr">
        <is>
          <t>Normale</t>
        </is>
      </c>
      <c r="I416" s="2">
        <f>MAX(1,TRUNC(L416*(Impostazioni!$B$2/500)*1*M416*INDEX(Impostazioni!$E$23:$E$29,MATCH(H416,Impostazioni!$D$23:$D$29,0))))</f>
        <v/>
      </c>
      <c r="J416" s="9">
        <f>MAX(1,TRUNC(L416*(Impostazioni!$B$2/500)*INDEX(Motore!$A$5:$H$8,MATCH(C416,Motore!$A$5:$A$8,0),8)*M416*INDEX(Impostazioni!$E$23:$E$29,MATCH(H416,Impostazioni!$D$23:$D$29,0))))</f>
        <v/>
      </c>
      <c r="K416" s="2" t="inlineStr">
        <is>
          <t>Scommessa / Sconosciuto</t>
        </is>
      </c>
      <c r="L416" s="2" t="n">
        <v>1</v>
      </c>
      <c r="M416" s="2" t="n">
        <v>1</v>
      </c>
    </row>
    <row r="417">
      <c r="A417" s="2" t="inlineStr">
        <is>
          <t>Sulemana I.</t>
        </is>
      </c>
      <c r="B417" s="2" t="inlineStr">
        <is>
          <t>Sassuolo</t>
        </is>
      </c>
      <c r="C417" s="2" t="inlineStr">
        <is>
          <t>C</t>
        </is>
      </c>
      <c r="D417" s="2" t="inlineStr">
        <is>
          <t>M/C</t>
        </is>
      </c>
      <c r="E417" s="2" t="n">
        <v>3</v>
      </c>
      <c r="F417" s="2" t="n">
        <v>1.1</v>
      </c>
      <c r="G417" s="2" t="n">
        <v>0.5</v>
      </c>
      <c r="H417" s="8" t="inlineStr">
        <is>
          <t>🪑 Riserva Fissa (da fasciaFc)</t>
        </is>
      </c>
      <c r="I417" s="2">
        <f>MAX(1,TRUNC(L417*(Impostazioni!$B$2/500)*1*M417*INDEX(Impostazioni!$E$23:$E$29,MATCH(H417,Impostazioni!$D$23:$D$29,0))))</f>
        <v/>
      </c>
      <c r="J417" s="9">
        <f>MAX(1,TRUNC(L417*(Impostazioni!$B$2/500)*INDEX(Motore!$A$5:$H$8,MATCH(C417,Motore!$A$5:$A$8,0),8)*M417*INDEX(Impostazioni!$E$23:$E$29,MATCH(H417,Impostazioni!$D$23:$D$29,0))))</f>
        <v/>
      </c>
      <c r="K417" s="2" t="inlineStr">
        <is>
          <t>Scommessa / Sconosciuto</t>
        </is>
      </c>
      <c r="L417" s="2" t="n">
        <v>1</v>
      </c>
      <c r="M417" s="2" t="n">
        <v>1</v>
      </c>
    </row>
    <row r="418">
      <c r="A418" s="2" t="inlineStr">
        <is>
          <t>Belahyane</t>
        </is>
      </c>
      <c r="B418" s="2" t="inlineStr">
        <is>
          <t>Lazio</t>
        </is>
      </c>
      <c r="C418" s="2" t="inlineStr">
        <is>
          <t>C</t>
        </is>
      </c>
      <c r="D418" s="2" t="inlineStr">
        <is>
          <t>M/C</t>
        </is>
      </c>
      <c r="E418" s="2" t="n">
        <v>2</v>
      </c>
      <c r="F418" s="2" t="n">
        <v>0.95</v>
      </c>
      <c r="G418" s="2" t="n">
        <v>0.5</v>
      </c>
      <c r="H418" s="8" t="inlineStr">
        <is>
          <t>🪑 Riserva Fissa (da fasciaFc)</t>
        </is>
      </c>
      <c r="I418" s="2">
        <f>MAX(1,TRUNC(L418*(Impostazioni!$B$2/500)*1*M418*INDEX(Impostazioni!$E$23:$E$29,MATCH(H418,Impostazioni!$D$23:$D$29,0))))</f>
        <v/>
      </c>
      <c r="J418" s="9">
        <f>MAX(1,TRUNC(L418*(Impostazioni!$B$2/500)*INDEX(Motore!$A$5:$H$8,MATCH(C418,Motore!$A$5:$A$8,0),8)*M418*INDEX(Impostazioni!$E$23:$E$29,MATCH(H418,Impostazioni!$D$23:$D$29,0))))</f>
        <v/>
      </c>
      <c r="K418" s="2" t="inlineStr">
        <is>
          <t>Scommessa / Sconosciuto</t>
        </is>
      </c>
      <c r="L418" s="2" t="n">
        <v>1</v>
      </c>
      <c r="M418" s="2" t="n">
        <v>1</v>
      </c>
    </row>
    <row r="419">
      <c r="A419" s="2" t="inlineStr">
        <is>
          <t>Boloca</t>
        </is>
      </c>
      <c r="B419" s="2" t="inlineStr">
        <is>
          <t>Sassuolo</t>
        </is>
      </c>
      <c r="C419" s="2" t="inlineStr">
        <is>
          <t>C</t>
        </is>
      </c>
      <c r="D419" s="2" t="inlineStr">
        <is>
          <t>M/C</t>
        </is>
      </c>
      <c r="E419" s="2" t="n">
        <v>2</v>
      </c>
      <c r="F419" s="2" t="n">
        <v>0.85</v>
      </c>
      <c r="G419" s="2" t="n">
        <v>0.5</v>
      </c>
      <c r="H419" s="8" t="inlineStr">
        <is>
          <t>🔴 Infortunato/Dubbio</t>
        </is>
      </c>
      <c r="I419" s="2">
        <f>MAX(1,TRUNC(L419*(Impostazioni!$B$2/500)*1*M419*INDEX(Impostazioni!$E$23:$E$29,MATCH(H419,Impostazioni!$D$23:$D$29,0))))</f>
        <v/>
      </c>
      <c r="J419" s="9">
        <f>MAX(1,TRUNC(L419*(Impostazioni!$B$2/500)*INDEX(Motore!$A$5:$H$8,MATCH(C419,Motore!$A$5:$A$8,0),8)*M419*INDEX(Impostazioni!$E$23:$E$29,MATCH(H419,Impostazioni!$D$23:$D$29,0))))</f>
        <v/>
      </c>
      <c r="K419" s="2" t="inlineStr">
        <is>
          <t>Scommessa / Sconosciuto</t>
        </is>
      </c>
      <c r="L419" s="2" t="n">
        <v>1</v>
      </c>
      <c r="M419" s="2" t="n">
        <v>1</v>
      </c>
    </row>
    <row r="420">
      <c r="A420" s="2" t="inlineStr">
        <is>
          <t>Chakvetadze</t>
        </is>
      </c>
      <c r="B420" s="2" t="inlineStr">
        <is>
          <t>Udinese</t>
        </is>
      </c>
      <c r="C420" s="2" t="inlineStr">
        <is>
          <t>C</t>
        </is>
      </c>
      <c r="D420" s="2" t="inlineStr">
        <is>
          <t>W/T</t>
        </is>
      </c>
      <c r="E420" s="2" t="n">
        <v>2</v>
      </c>
      <c r="F420" s="2" t="n">
        <v>0.95</v>
      </c>
      <c r="G420" s="2" t="n">
        <v>0.5</v>
      </c>
      <c r="H420" s="8" t="inlineStr">
        <is>
          <t>🔴 Infortunato/Dubbio</t>
        </is>
      </c>
      <c r="I420" s="2">
        <f>MAX(1,TRUNC(L420*(Impostazioni!$B$2/500)*1*M420*INDEX(Impostazioni!$E$23:$E$29,MATCH(H420,Impostazioni!$D$23:$D$29,0))))</f>
        <v/>
      </c>
      <c r="J420" s="9">
        <f>MAX(1,TRUNC(L420*(Impostazioni!$B$2/500)*INDEX(Motore!$A$5:$H$8,MATCH(C420,Motore!$A$5:$A$8,0),8)*M420*INDEX(Impostazioni!$E$23:$E$29,MATCH(H420,Impostazioni!$D$23:$D$29,0))))</f>
        <v/>
      </c>
      <c r="K420" s="2" t="inlineStr">
        <is>
          <t>Scommessa / Sconosciuto</t>
        </is>
      </c>
      <c r="L420" s="2" t="n">
        <v>1</v>
      </c>
      <c r="M420" s="2" t="n">
        <v>1</v>
      </c>
    </row>
    <row r="421">
      <c r="A421" s="2" t="inlineStr">
        <is>
          <t>Ciurria</t>
        </is>
      </c>
      <c r="B421" s="2" t="inlineStr">
        <is>
          <t>Monza</t>
        </is>
      </c>
      <c r="C421" s="2" t="inlineStr">
        <is>
          <t>C</t>
        </is>
      </c>
      <c r="D421" s="2" t="inlineStr">
        <is>
          <t>E/W</t>
        </is>
      </c>
      <c r="E421" s="2" t="n">
        <v>2</v>
      </c>
      <c r="F421" s="2" t="n">
        <v>0.95</v>
      </c>
      <c r="G421" s="2" t="n">
        <v>0.5</v>
      </c>
      <c r="H421" s="8" t="inlineStr">
        <is>
          <t>🔴 Infortunato/Dubbio</t>
        </is>
      </c>
      <c r="I421" s="2">
        <f>MAX(1,TRUNC(L421*(Impostazioni!$B$2/500)*1*M421*INDEX(Impostazioni!$E$23:$E$29,MATCH(H421,Impostazioni!$D$23:$D$29,0))))</f>
        <v/>
      </c>
      <c r="J421" s="9">
        <f>MAX(1,TRUNC(L421*(Impostazioni!$B$2/500)*INDEX(Motore!$A$5:$H$8,MATCH(C421,Motore!$A$5:$A$8,0),8)*M421*INDEX(Impostazioni!$E$23:$E$29,MATCH(H421,Impostazioni!$D$23:$D$29,0))))</f>
        <v/>
      </c>
      <c r="K421" s="2" t="inlineStr">
        <is>
          <t>Scommessa / Sconosciuto</t>
        </is>
      </c>
      <c r="L421" s="2" t="n">
        <v>1</v>
      </c>
      <c r="M421" s="2" t="n">
        <v>1</v>
      </c>
    </row>
    <row r="422">
      <c r="A422" s="2" t="inlineStr">
        <is>
          <t>Cremaschi</t>
        </is>
      </c>
      <c r="B422" s="2" t="inlineStr">
        <is>
          <t>Parma</t>
        </is>
      </c>
      <c r="C422" s="2" t="inlineStr">
        <is>
          <t>C</t>
        </is>
      </c>
      <c r="D422" s="2" t="inlineStr">
        <is>
          <t>E/C</t>
        </is>
      </c>
      <c r="E422" s="2" t="n">
        <v>2</v>
      </c>
      <c r="F422" s="2" t="n">
        <v>0.9</v>
      </c>
      <c r="G422" s="2" t="n">
        <v>0.5</v>
      </c>
      <c r="H422" s="8" t="inlineStr">
        <is>
          <t>🪑 Riserva Fissa (da fasciaFc)</t>
        </is>
      </c>
      <c r="I422" s="2">
        <f>MAX(1,TRUNC(L422*(Impostazioni!$B$2/500)*1*M422*INDEX(Impostazioni!$E$23:$E$29,MATCH(H422,Impostazioni!$D$23:$D$29,0))))</f>
        <v/>
      </c>
      <c r="J422" s="9">
        <f>MAX(1,TRUNC(L422*(Impostazioni!$B$2/500)*INDEX(Motore!$A$5:$H$8,MATCH(C422,Motore!$A$5:$A$8,0),8)*M422*INDEX(Impostazioni!$E$23:$E$29,MATCH(H422,Impostazioni!$D$23:$D$29,0))))</f>
        <v/>
      </c>
      <c r="K422" s="2" t="inlineStr">
        <is>
          <t>Scommessa / Sconosciuto</t>
        </is>
      </c>
      <c r="L422" s="2" t="n">
        <v>1</v>
      </c>
      <c r="M422" s="2" t="n">
        <v>1</v>
      </c>
    </row>
    <row r="423">
      <c r="A423" s="2" t="inlineStr">
        <is>
          <t>Duncan</t>
        </is>
      </c>
      <c r="B423" s="2" t="inlineStr">
        <is>
          <t>Venezia</t>
        </is>
      </c>
      <c r="C423" s="2" t="inlineStr">
        <is>
          <t>C</t>
        </is>
      </c>
      <c r="D423" s="2" t="inlineStr">
        <is>
          <t>C</t>
        </is>
      </c>
      <c r="E423" s="2" t="n">
        <v>2</v>
      </c>
      <c r="F423" s="2" t="n">
        <v>1</v>
      </c>
      <c r="G423" s="2" t="n">
        <v>0.5</v>
      </c>
      <c r="H423" s="8" t="inlineStr">
        <is>
          <t>🪑 Riserva Fissa (da fasciaFc)</t>
        </is>
      </c>
      <c r="I423" s="2">
        <f>MAX(1,TRUNC(L423*(Impostazioni!$B$2/500)*1*M423*INDEX(Impostazioni!$E$23:$E$29,MATCH(H423,Impostazioni!$D$23:$D$29,0))))</f>
        <v/>
      </c>
      <c r="J423" s="9">
        <f>MAX(1,TRUNC(L423*(Impostazioni!$B$2/500)*INDEX(Motore!$A$5:$H$8,MATCH(C423,Motore!$A$5:$A$8,0),8)*M423*INDEX(Impostazioni!$E$23:$E$29,MATCH(H423,Impostazioni!$D$23:$D$29,0))))</f>
        <v/>
      </c>
      <c r="K423" s="2" t="inlineStr">
        <is>
          <t>Scommessa / Sconosciuto</t>
        </is>
      </c>
      <c r="L423" s="2" t="n">
        <v>1</v>
      </c>
      <c r="M423" s="2" t="n">
        <v>1</v>
      </c>
    </row>
    <row r="424">
      <c r="A424" s="2" t="inlineStr">
        <is>
          <t>El Azzouzi O.</t>
        </is>
      </c>
      <c r="B424" s="2" t="inlineStr">
        <is>
          <t>Bologna</t>
        </is>
      </c>
      <c r="C424" s="2" t="inlineStr">
        <is>
          <t>C</t>
        </is>
      </c>
      <c r="D424" s="2" t="inlineStr">
        <is>
          <t>M/C</t>
        </is>
      </c>
      <c r="E424" s="2" t="n">
        <v>2</v>
      </c>
      <c r="F424" s="2" t="n">
        <v>1</v>
      </c>
      <c r="G424" s="2" t="n">
        <v>0.5</v>
      </c>
      <c r="H424" s="8" t="inlineStr">
        <is>
          <t>🔴 Infortunato/Dubbio</t>
        </is>
      </c>
      <c r="I424" s="2">
        <f>MAX(1,TRUNC(L424*(Impostazioni!$B$2/500)*1*M424*INDEX(Impostazioni!$E$23:$E$29,MATCH(H424,Impostazioni!$D$23:$D$29,0))))</f>
        <v/>
      </c>
      <c r="J424" s="9">
        <f>MAX(1,TRUNC(L424*(Impostazioni!$B$2/500)*INDEX(Motore!$A$5:$H$8,MATCH(C424,Motore!$A$5:$A$8,0),8)*M424*INDEX(Impostazioni!$E$23:$E$29,MATCH(H424,Impostazioni!$D$23:$D$29,0))))</f>
        <v/>
      </c>
      <c r="K424" s="2" t="inlineStr">
        <is>
          <t>Scommessa / Sconosciuto</t>
        </is>
      </c>
      <c r="L424" s="2" t="n">
        <v>1</v>
      </c>
      <c r="M424" s="2" t="n">
        <v>1</v>
      </c>
    </row>
    <row r="425">
      <c r="A425" s="2" t="inlineStr">
        <is>
          <t>Fadera</t>
        </is>
      </c>
      <c r="B425" s="2" t="inlineStr">
        <is>
          <t>Cagliari</t>
        </is>
      </c>
      <c r="C425" s="2" t="inlineStr">
        <is>
          <t>C</t>
        </is>
      </c>
      <c r="D425" s="2" t="inlineStr">
        <is>
          <t>W</t>
        </is>
      </c>
      <c r="E425" s="2" t="n">
        <v>2</v>
      </c>
      <c r="F425" s="2" t="n">
        <v>1.1</v>
      </c>
      <c r="G425" s="2" t="n">
        <v>0.5</v>
      </c>
      <c r="H425" s="8" t="inlineStr">
        <is>
          <t>🪑 Riserva Fissa (da fasciaFc)</t>
        </is>
      </c>
      <c r="I425" s="2">
        <f>MAX(1,TRUNC(L425*(Impostazioni!$B$2/500)*1*M425*INDEX(Impostazioni!$E$23:$E$29,MATCH(H425,Impostazioni!$D$23:$D$29,0))))</f>
        <v/>
      </c>
      <c r="J425" s="9">
        <f>MAX(1,TRUNC(L425*(Impostazioni!$B$2/500)*INDEX(Motore!$A$5:$H$8,MATCH(C425,Motore!$A$5:$A$8,0),8)*M425*INDEX(Impostazioni!$E$23:$E$29,MATCH(H425,Impostazioni!$D$23:$D$29,0))))</f>
        <v/>
      </c>
      <c r="K425" s="2" t="inlineStr">
        <is>
          <t>Scommessa / Sconosciuto</t>
        </is>
      </c>
      <c r="L425" s="2" t="n">
        <v>1</v>
      </c>
      <c r="M425" s="2" t="n">
        <v>1</v>
      </c>
    </row>
    <row r="426">
      <c r="A426" s="2" t="inlineStr">
        <is>
          <t>Foe Ondoa</t>
        </is>
      </c>
      <c r="B426" s="2" t="inlineStr">
        <is>
          <t>Monza</t>
        </is>
      </c>
      <c r="C426" s="2" t="inlineStr">
        <is>
          <t>C</t>
        </is>
      </c>
      <c r="D426" s="2" t="inlineStr">
        <is>
          <t>C</t>
        </is>
      </c>
      <c r="E426" s="2" t="n">
        <v>2</v>
      </c>
      <c r="F426" s="2" t="n">
        <v>0.95</v>
      </c>
      <c r="G426" s="2" t="n">
        <v>0.5</v>
      </c>
      <c r="H426" s="8" t="inlineStr">
        <is>
          <t>🪑 Riserva Fissa (da fasciaFc)</t>
        </is>
      </c>
      <c r="I426" s="2">
        <f>MAX(1,TRUNC(L426*(Impostazioni!$B$2/500)*1*M426*INDEX(Impostazioni!$E$23:$E$29,MATCH(H426,Impostazioni!$D$23:$D$29,0))))</f>
        <v/>
      </c>
      <c r="J426" s="9">
        <f>MAX(1,TRUNC(L426*(Impostazioni!$B$2/500)*INDEX(Motore!$A$5:$H$8,MATCH(C426,Motore!$A$5:$A$8,0),8)*M426*INDEX(Impostazioni!$E$23:$E$29,MATCH(H426,Impostazioni!$D$23:$D$29,0))))</f>
        <v/>
      </c>
      <c r="K426" s="2" t="inlineStr">
        <is>
          <t>Scommessa / Sconosciuto</t>
        </is>
      </c>
      <c r="L426" s="2" t="n">
        <v>1</v>
      </c>
      <c r="M426" s="2" t="n">
        <v>1</v>
      </c>
    </row>
    <row r="427">
      <c r="A427" s="2" t="inlineStr">
        <is>
          <t>Forson O.</t>
        </is>
      </c>
      <c r="B427" s="2" t="inlineStr">
        <is>
          <t>Monza</t>
        </is>
      </c>
      <c r="C427" s="2" t="inlineStr">
        <is>
          <t>C</t>
        </is>
      </c>
      <c r="D427" s="2" t="inlineStr">
        <is>
          <t>W/T</t>
        </is>
      </c>
      <c r="E427" s="2" t="n">
        <v>2</v>
      </c>
      <c r="F427" s="2" t="n">
        <v>0.5</v>
      </c>
      <c r="G427" s="2" t="n">
        <v>0.5</v>
      </c>
      <c r="H427" s="8" t="inlineStr">
        <is>
          <t>🪑 Riserva Fissa (da fasciaFc)</t>
        </is>
      </c>
      <c r="I427" s="2">
        <f>MAX(1,TRUNC(L427*(Impostazioni!$B$2/500)*1*M427*INDEX(Impostazioni!$E$23:$E$29,MATCH(H427,Impostazioni!$D$23:$D$29,0))))</f>
        <v/>
      </c>
      <c r="J427" s="9">
        <f>MAX(1,TRUNC(L427*(Impostazioni!$B$2/500)*INDEX(Motore!$A$5:$H$8,MATCH(C427,Motore!$A$5:$A$8,0),8)*M427*INDEX(Impostazioni!$E$23:$E$29,MATCH(H427,Impostazioni!$D$23:$D$29,0))))</f>
        <v/>
      </c>
      <c r="K427" s="2" t="inlineStr">
        <is>
          <t>Scommessa / Sconosciuto</t>
        </is>
      </c>
      <c r="L427" s="2" t="n">
        <v>1</v>
      </c>
      <c r="M427" s="2" t="n">
        <v>1</v>
      </c>
    </row>
    <row r="428">
      <c r="A428" s="2" t="inlineStr">
        <is>
          <t>Hasa</t>
        </is>
      </c>
      <c r="B428" s="2" t="inlineStr">
        <is>
          <t>Frosinone</t>
        </is>
      </c>
      <c r="C428" s="2" t="inlineStr">
        <is>
          <t>C</t>
        </is>
      </c>
      <c r="D428" s="2" t="inlineStr">
        <is>
          <t>C/T</t>
        </is>
      </c>
      <c r="E428" s="2" t="n">
        <v>2</v>
      </c>
      <c r="F428" s="2" t="n">
        <v>0.85</v>
      </c>
      <c r="G428" s="2" t="n">
        <v>0.5</v>
      </c>
      <c r="H428" s="8" t="inlineStr">
        <is>
          <t>Normale</t>
        </is>
      </c>
      <c r="I428" s="2">
        <f>MAX(1,TRUNC(L428*(Impostazioni!$B$2/500)*1*M428*INDEX(Impostazioni!$E$23:$E$29,MATCH(H428,Impostazioni!$D$23:$D$29,0))))</f>
        <v/>
      </c>
      <c r="J428" s="9">
        <f>MAX(1,TRUNC(L428*(Impostazioni!$B$2/500)*INDEX(Motore!$A$5:$H$8,MATCH(C428,Motore!$A$5:$A$8,0),8)*M428*INDEX(Impostazioni!$E$23:$E$29,MATCH(H428,Impostazioni!$D$23:$D$29,0))))</f>
        <v/>
      </c>
      <c r="K428" s="2" t="inlineStr">
        <is>
          <t>Scommessa / Sconosciuto</t>
        </is>
      </c>
      <c r="L428" s="2" t="n">
        <v>1</v>
      </c>
      <c r="M428" s="2" t="n">
        <v>1</v>
      </c>
    </row>
    <row r="429">
      <c r="A429" s="2" t="inlineStr">
        <is>
          <t>Jovanovic</t>
        </is>
      </c>
      <c r="B429" s="2" t="inlineStr">
        <is>
          <t>Udinese</t>
        </is>
      </c>
      <c r="C429" s="2" t="inlineStr">
        <is>
          <t>C</t>
        </is>
      </c>
      <c r="D429" s="2" t="inlineStr">
        <is>
          <t>W;T</t>
        </is>
      </c>
      <c r="E429" s="2" t="n">
        <v>2</v>
      </c>
      <c r="F429" s="2" t="n">
        <v>0.95</v>
      </c>
      <c r="G429" s="2" t="n">
        <v>0.5</v>
      </c>
      <c r="H429" s="8" t="inlineStr">
        <is>
          <t>🪑 Riserva Fissa (da fasciaFc)</t>
        </is>
      </c>
      <c r="I429" s="2">
        <f>MAX(1,TRUNC(L429*(Impostazioni!$B$2/500)*1*M429*INDEX(Impostazioni!$E$23:$E$29,MATCH(H429,Impostazioni!$D$23:$D$29,0))))</f>
        <v/>
      </c>
      <c r="J429" s="9">
        <f>MAX(1,TRUNC(L429*(Impostazioni!$B$2/500)*INDEX(Motore!$A$5:$H$8,MATCH(C429,Motore!$A$5:$A$8,0),8)*M429*INDEX(Impostazioni!$E$23:$E$29,MATCH(H429,Impostazioni!$D$23:$D$29,0))))</f>
        <v/>
      </c>
      <c r="K429" s="2" t="inlineStr">
        <is>
          <t>Scommessa / Sconosciuto</t>
        </is>
      </c>
      <c r="L429" s="2" t="n">
        <v>1</v>
      </c>
      <c r="M429" s="2" t="n">
        <v>1</v>
      </c>
    </row>
    <row r="430">
      <c r="A430" s="2" t="inlineStr">
        <is>
          <t>Lipani</t>
        </is>
      </c>
      <c r="B430" s="2" t="inlineStr">
        <is>
          <t>Sassuolo</t>
        </is>
      </c>
      <c r="C430" s="2" t="inlineStr">
        <is>
          <t>C</t>
        </is>
      </c>
      <c r="D430" s="2" t="inlineStr">
        <is>
          <t>M/C</t>
        </is>
      </c>
      <c r="E430" s="2" t="n">
        <v>2</v>
      </c>
      <c r="F430" s="2" t="n">
        <v>0.95</v>
      </c>
      <c r="G430" s="2" t="n">
        <v>0.5</v>
      </c>
      <c r="H430" s="8" t="inlineStr">
        <is>
          <t>🪑 Riserva Fissa (da fasciaFc)</t>
        </is>
      </c>
      <c r="I430" s="2">
        <f>MAX(1,TRUNC(L430*(Impostazioni!$B$2/500)*1*M430*INDEX(Impostazioni!$E$23:$E$29,MATCH(H430,Impostazioni!$D$23:$D$29,0))))</f>
        <v/>
      </c>
      <c r="J430" s="9">
        <f>MAX(1,TRUNC(L430*(Impostazioni!$B$2/500)*INDEX(Motore!$A$5:$H$8,MATCH(C430,Motore!$A$5:$A$8,0),8)*M430*INDEX(Impostazioni!$E$23:$E$29,MATCH(H430,Impostazioni!$D$23:$D$29,0))))</f>
        <v/>
      </c>
      <c r="K430" s="2" t="inlineStr">
        <is>
          <t>Scommessa / Sconosciuto</t>
        </is>
      </c>
      <c r="L430" s="2" t="n">
        <v>1</v>
      </c>
      <c r="M430" s="2" t="n">
        <v>1</v>
      </c>
    </row>
    <row r="431">
      <c r="A431" s="2" t="inlineStr">
        <is>
          <t>Venturino</t>
        </is>
      </c>
      <c r="B431" s="2" t="inlineStr">
        <is>
          <t>Genoa</t>
        </is>
      </c>
      <c r="C431" s="2" t="inlineStr">
        <is>
          <t>C</t>
        </is>
      </c>
      <c r="D431" s="2" t="inlineStr">
        <is>
          <t>W</t>
        </is>
      </c>
      <c r="E431" s="2" t="n">
        <v>2</v>
      </c>
      <c r="F431" s="2" t="n">
        <v>0.5</v>
      </c>
      <c r="G431" s="2" t="n">
        <v>0.5</v>
      </c>
      <c r="H431" s="8" t="inlineStr">
        <is>
          <t>🔴 Infortunato/Dubbio</t>
        </is>
      </c>
      <c r="I431" s="2">
        <f>MAX(1,TRUNC(L431*(Impostazioni!$B$2/500)*1*M431*INDEX(Impostazioni!$E$23:$E$29,MATCH(H431,Impostazioni!$D$23:$D$29,0))))</f>
        <v/>
      </c>
      <c r="J431" s="9">
        <f>MAX(1,TRUNC(L431*(Impostazioni!$B$2/500)*INDEX(Motore!$A$5:$H$8,MATCH(C431,Motore!$A$5:$A$8,0),8)*M431*INDEX(Impostazioni!$E$23:$E$29,MATCH(H431,Impostazioni!$D$23:$D$29,0))))</f>
        <v/>
      </c>
      <c r="K431" s="2" t="inlineStr">
        <is>
          <t>Scommessa / Sconosciuto</t>
        </is>
      </c>
      <c r="L431" s="2" t="n">
        <v>1</v>
      </c>
      <c r="M431" s="2" t="n">
        <v>1</v>
      </c>
    </row>
    <row r="432">
      <c r="A432" s="2" t="inlineStr">
        <is>
          <t>Zarraga</t>
        </is>
      </c>
      <c r="B432" s="2" t="inlineStr">
        <is>
          <t>Udinese</t>
        </is>
      </c>
      <c r="C432" s="2" t="inlineStr">
        <is>
          <t>C</t>
        </is>
      </c>
      <c r="D432" s="2" t="inlineStr">
        <is>
          <t>M;C</t>
        </is>
      </c>
      <c r="E432" s="2" t="n">
        <v>2</v>
      </c>
      <c r="F432" s="2" t="n">
        <v>0.75</v>
      </c>
      <c r="G432" s="2" t="n">
        <v>0.5</v>
      </c>
      <c r="H432" s="8" t="inlineStr">
        <is>
          <t>🪑 Riserva Fissa (da fasciaFc)</t>
        </is>
      </c>
      <c r="I432" s="2">
        <f>MAX(1,TRUNC(L432*(Impostazioni!$B$2/500)*1*M432*INDEX(Impostazioni!$E$23:$E$29,MATCH(H432,Impostazioni!$D$23:$D$29,0))))</f>
        <v/>
      </c>
      <c r="J432" s="9">
        <f>MAX(1,TRUNC(L432*(Impostazioni!$B$2/500)*INDEX(Motore!$A$5:$H$8,MATCH(C432,Motore!$A$5:$A$8,0),8)*M432*INDEX(Impostazioni!$E$23:$E$29,MATCH(H432,Impostazioni!$D$23:$D$29,0))))</f>
        <v/>
      </c>
      <c r="K432" s="2" t="inlineStr">
        <is>
          <t>Scommessa / Sconosciuto</t>
        </is>
      </c>
      <c r="L432" s="2" t="n">
        <v>1</v>
      </c>
      <c r="M432" s="2" t="n">
        <v>1</v>
      </c>
    </row>
    <row r="433">
      <c r="A433" s="2" t="inlineStr">
        <is>
          <t>Ciervo</t>
        </is>
      </c>
      <c r="B433" s="2" t="inlineStr">
        <is>
          <t>Cagliari</t>
        </is>
      </c>
      <c r="C433" s="2" t="inlineStr">
        <is>
          <t>C</t>
        </is>
      </c>
      <c r="D433" s="2" t="inlineStr">
        <is>
          <t>W</t>
        </is>
      </c>
      <c r="E433" s="2" t="n">
        <v>1</v>
      </c>
      <c r="F433" s="2" t="n">
        <v>0.8</v>
      </c>
      <c r="G433" s="2" t="n">
        <v>0.5</v>
      </c>
      <c r="H433" s="8" t="inlineStr">
        <is>
          <t>🪑 Riserva Fissa (da fasciaFc)</t>
        </is>
      </c>
      <c r="I433" s="2">
        <f>MAX(1,TRUNC(L433*(Impostazioni!$B$2/500)*1*M433*INDEX(Impostazioni!$E$23:$E$29,MATCH(H433,Impostazioni!$D$23:$D$29,0))))</f>
        <v/>
      </c>
      <c r="J433" s="9">
        <f>MAX(1,TRUNC(L433*(Impostazioni!$B$2/500)*INDEX(Motore!$A$5:$H$8,MATCH(C433,Motore!$A$5:$A$8,0),8)*M433*INDEX(Impostazioni!$E$23:$E$29,MATCH(H433,Impostazioni!$D$23:$D$29,0))))</f>
        <v/>
      </c>
      <c r="K433" s="2" t="inlineStr">
        <is>
          <t>Scommessa / Sconosciuto</t>
        </is>
      </c>
      <c r="L433" s="2" t="n">
        <v>1</v>
      </c>
      <c r="M433" s="2" t="n">
        <v>1</v>
      </c>
    </row>
    <row r="434">
      <c r="A434" s="2" t="inlineStr">
        <is>
          <t>Comotto</t>
        </is>
      </c>
      <c r="B434" s="2" t="inlineStr">
        <is>
          <t>Milan</t>
        </is>
      </c>
      <c r="C434" s="2" t="inlineStr">
        <is>
          <t>C</t>
        </is>
      </c>
      <c r="D434" s="2" t="inlineStr">
        <is>
          <t>M/C</t>
        </is>
      </c>
      <c r="E434" s="2" t="n">
        <v>1</v>
      </c>
      <c r="F434" s="2" t="n">
        <v>0.8</v>
      </c>
      <c r="G434" s="2" t="n">
        <v>0.5</v>
      </c>
      <c r="H434" s="8" t="inlineStr">
        <is>
          <t>🪑 Riserva Fissa (da fasciaFc)</t>
        </is>
      </c>
      <c r="I434" s="2">
        <f>MAX(1,TRUNC(L434*(Impostazioni!$B$2/500)*1*M434*INDEX(Impostazioni!$E$23:$E$29,MATCH(H434,Impostazioni!$D$23:$D$29,0))))</f>
        <v/>
      </c>
      <c r="J434" s="9">
        <f>MAX(1,TRUNC(L434*(Impostazioni!$B$2/500)*INDEX(Motore!$A$5:$H$8,MATCH(C434,Motore!$A$5:$A$8,0),8)*M434*INDEX(Impostazioni!$E$23:$E$29,MATCH(H434,Impostazioni!$D$23:$D$29,0))))</f>
        <v/>
      </c>
      <c r="K434" s="2" t="inlineStr">
        <is>
          <t>Scommessa / Sconosciuto</t>
        </is>
      </c>
      <c r="L434" s="2" t="n">
        <v>1</v>
      </c>
      <c r="M434" s="2" t="n">
        <v>1</v>
      </c>
    </row>
    <row r="435">
      <c r="A435" s="2" t="inlineStr">
        <is>
          <t>Dagasso</t>
        </is>
      </c>
      <c r="B435" s="2" t="inlineStr">
        <is>
          <t>Venezia</t>
        </is>
      </c>
      <c r="C435" s="2" t="inlineStr">
        <is>
          <t>C</t>
        </is>
      </c>
      <c r="D435" s="2" t="inlineStr">
        <is>
          <t>C</t>
        </is>
      </c>
      <c r="E435" s="2" t="n">
        <v>1</v>
      </c>
      <c r="F435" s="2" t="n">
        <v>0.75</v>
      </c>
      <c r="G435" s="2" t="n">
        <v>0.5</v>
      </c>
      <c r="H435" s="8" t="inlineStr">
        <is>
          <t>🪑 Riserva Fissa (da fasciaFc)</t>
        </is>
      </c>
      <c r="I435" s="2">
        <f>MAX(1,TRUNC(L435*(Impostazioni!$B$2/500)*1*M435*INDEX(Impostazioni!$E$23:$E$29,MATCH(H435,Impostazioni!$D$23:$D$29,0))))</f>
        <v/>
      </c>
      <c r="J435" s="9">
        <f>MAX(1,TRUNC(L435*(Impostazioni!$B$2/500)*INDEX(Motore!$A$5:$H$8,MATCH(C435,Motore!$A$5:$A$8,0),8)*M435*INDEX(Impostazioni!$E$23:$E$29,MATCH(H435,Impostazioni!$D$23:$D$29,0))))</f>
        <v/>
      </c>
      <c r="K435" s="2" t="inlineStr">
        <is>
          <t>Scommessa / Sconosciuto</t>
        </is>
      </c>
      <c r="L435" s="2" t="n">
        <v>1</v>
      </c>
      <c r="M435" s="2" t="n">
        <v>1</v>
      </c>
    </row>
    <row r="436">
      <c r="A436" s="2" t="inlineStr">
        <is>
          <t>El Azzouzi A.</t>
        </is>
      </c>
      <c r="B436" s="2" t="inlineStr">
        <is>
          <t>Frosinone</t>
        </is>
      </c>
      <c r="C436" s="2" t="inlineStr">
        <is>
          <t>C</t>
        </is>
      </c>
      <c r="D436" s="2" t="inlineStr">
        <is>
          <t>M/C</t>
        </is>
      </c>
      <c r="E436" s="2" t="n">
        <v>1</v>
      </c>
      <c r="F436" s="2" t="n">
        <v>0.5</v>
      </c>
      <c r="G436" s="2" t="n">
        <v>0.5</v>
      </c>
      <c r="H436" s="8" t="inlineStr">
        <is>
          <t>🪑 Riserva Fissa (da fasciaFc)</t>
        </is>
      </c>
      <c r="I436" s="2">
        <f>MAX(1,TRUNC(L436*(Impostazioni!$B$2/500)*1*M436*INDEX(Impostazioni!$E$23:$E$29,MATCH(H436,Impostazioni!$D$23:$D$29,0))))</f>
        <v/>
      </c>
      <c r="J436" s="9">
        <f>MAX(1,TRUNC(L436*(Impostazioni!$B$2/500)*INDEX(Motore!$A$5:$H$8,MATCH(C436,Motore!$A$5:$A$8,0),8)*M436*INDEX(Impostazioni!$E$23:$E$29,MATCH(H436,Impostazioni!$D$23:$D$29,0))))</f>
        <v/>
      </c>
      <c r="K436" s="2" t="inlineStr">
        <is>
          <t>Scommessa / Sconosciuto</t>
        </is>
      </c>
      <c r="L436" s="2" t="n">
        <v>1</v>
      </c>
      <c r="M436" s="2" t="n">
        <v>1</v>
      </c>
    </row>
    <row r="437">
      <c r="A437" s="2" t="inlineStr">
        <is>
          <t>Fofana Sa.</t>
        </is>
      </c>
      <c r="B437" s="2" t="inlineStr">
        <is>
          <t>Lecce</t>
        </is>
      </c>
      <c r="C437" s="2" t="inlineStr">
        <is>
          <t>C</t>
        </is>
      </c>
      <c r="D437" s="2" t="inlineStr">
        <is>
          <t>M;C</t>
        </is>
      </c>
      <c r="E437" s="2" t="n">
        <v>1</v>
      </c>
      <c r="F437" s="2" t="n">
        <v>0.5</v>
      </c>
      <c r="G437" s="2" t="n">
        <v>0.5</v>
      </c>
      <c r="H437" s="8" t="inlineStr">
        <is>
          <t>🪑 Riserva Fissa (da fasciaFc)</t>
        </is>
      </c>
      <c r="I437" s="2">
        <f>MAX(1,TRUNC(L437*(Impostazioni!$B$2/500)*1*M437*INDEX(Impostazioni!$E$23:$E$29,MATCH(H437,Impostazioni!$D$23:$D$29,0))))</f>
        <v/>
      </c>
      <c r="J437" s="9">
        <f>MAX(1,TRUNC(L437*(Impostazioni!$B$2/500)*INDEX(Motore!$A$5:$H$8,MATCH(C437,Motore!$A$5:$A$8,0),8)*M437*INDEX(Impostazioni!$E$23:$E$29,MATCH(H437,Impostazioni!$D$23:$D$29,0))))</f>
        <v/>
      </c>
      <c r="K437" s="2" t="inlineStr">
        <is>
          <t>Scommessa / Sconosciuto</t>
        </is>
      </c>
      <c r="L437" s="2" t="n">
        <v>1</v>
      </c>
      <c r="M437" s="2" t="n">
        <v>1</v>
      </c>
    </row>
    <row r="438">
      <c r="A438" s="2" t="inlineStr">
        <is>
          <t>Ilic</t>
        </is>
      </c>
      <c r="B438" s="2" t="inlineStr">
        <is>
          <t>Lecce</t>
        </is>
      </c>
      <c r="C438" s="2" t="inlineStr">
        <is>
          <t>C</t>
        </is>
      </c>
      <c r="D438" s="2" t="inlineStr">
        <is>
          <t>M/C</t>
        </is>
      </c>
      <c r="E438" s="2" t="n">
        <v>1</v>
      </c>
      <c r="F438" s="2" t="n">
        <v>1.2</v>
      </c>
      <c r="G438" s="2" t="n">
        <v>0.5</v>
      </c>
      <c r="H438" s="8" t="inlineStr">
        <is>
          <t>🟡 Ballottaggio</t>
        </is>
      </c>
      <c r="I438" s="2">
        <f>MAX(1,TRUNC(L438*(Impostazioni!$B$2/500)*1*M438*INDEX(Impostazioni!$E$23:$E$29,MATCH(H438,Impostazioni!$D$23:$D$29,0))))</f>
        <v/>
      </c>
      <c r="J438" s="9">
        <f>MAX(1,TRUNC(L438*(Impostazioni!$B$2/500)*INDEX(Motore!$A$5:$H$8,MATCH(C438,Motore!$A$5:$A$8,0),8)*M438*INDEX(Impostazioni!$E$23:$E$29,MATCH(H438,Impostazioni!$D$23:$D$29,0))))</f>
        <v/>
      </c>
      <c r="K438" s="2" t="inlineStr">
        <is>
          <t>Scommessa / Sconosciuto</t>
        </is>
      </c>
      <c r="L438" s="2" t="n">
        <v>1</v>
      </c>
      <c r="M438" s="2" t="n">
        <v>1</v>
      </c>
    </row>
    <row r="439">
      <c r="A439" s="2" t="inlineStr">
        <is>
          <t>Kaba</t>
        </is>
      </c>
      <c r="B439" s="2" t="inlineStr">
        <is>
          <t>Lecce</t>
        </is>
      </c>
      <c r="C439" s="2" t="inlineStr">
        <is>
          <t>C</t>
        </is>
      </c>
      <c r="D439" s="2" t="inlineStr">
        <is>
          <t>M;C</t>
        </is>
      </c>
      <c r="E439" s="2" t="n">
        <v>1</v>
      </c>
      <c r="F439" s="2" t="n">
        <v>0.5</v>
      </c>
      <c r="G439" s="2" t="n">
        <v>0.5</v>
      </c>
      <c r="H439" s="8" t="inlineStr">
        <is>
          <t>🪑 Riserva Fissa (da fasciaFc)</t>
        </is>
      </c>
      <c r="I439" s="2">
        <f>MAX(1,TRUNC(L439*(Impostazioni!$B$2/500)*1*M439*INDEX(Impostazioni!$E$23:$E$29,MATCH(H439,Impostazioni!$D$23:$D$29,0))))</f>
        <v/>
      </c>
      <c r="J439" s="9">
        <f>MAX(1,TRUNC(L439*(Impostazioni!$B$2/500)*INDEX(Motore!$A$5:$H$8,MATCH(C439,Motore!$A$5:$A$8,0),8)*M439*INDEX(Impostazioni!$E$23:$E$29,MATCH(H439,Impostazioni!$D$23:$D$29,0))))</f>
        <v/>
      </c>
      <c r="K439" s="2" t="inlineStr">
        <is>
          <t>Scommessa / Sconosciuto</t>
        </is>
      </c>
      <c r="L439" s="2" t="n">
        <v>1</v>
      </c>
      <c r="M439" s="2" t="n">
        <v>1</v>
      </c>
    </row>
    <row r="440">
      <c r="A440" s="2" t="inlineStr">
        <is>
          <t>Kone B.</t>
        </is>
      </c>
      <c r="B440" s="2" t="inlineStr">
        <is>
          <t>Frosinone</t>
        </is>
      </c>
      <c r="C440" s="2" t="inlineStr">
        <is>
          <t>C</t>
        </is>
      </c>
      <c r="D440" s="2" t="inlineStr">
        <is>
          <t>C</t>
        </is>
      </c>
      <c r="E440" s="2" t="n">
        <v>1</v>
      </c>
      <c r="F440" s="2" t="n">
        <v>0.5</v>
      </c>
      <c r="G440" s="2" t="n">
        <v>0.5</v>
      </c>
      <c r="H440" s="8" t="inlineStr">
        <is>
          <t>🪑 Riserva Fissa (da fasciaFc)</t>
        </is>
      </c>
      <c r="I440" s="2">
        <f>MAX(1,TRUNC(L440*(Impostazioni!$B$2/500)*1*M440*INDEX(Impostazioni!$E$23:$E$29,MATCH(H440,Impostazioni!$D$23:$D$29,0))))</f>
        <v/>
      </c>
      <c r="J440" s="9">
        <f>MAX(1,TRUNC(L440*(Impostazioni!$B$2/500)*INDEX(Motore!$A$5:$H$8,MATCH(C440,Motore!$A$5:$A$8,0),8)*M440*INDEX(Impostazioni!$E$23:$E$29,MATCH(H440,Impostazioni!$D$23:$D$29,0))))</f>
        <v/>
      </c>
      <c r="K440" s="2" t="inlineStr">
        <is>
          <t>Scommessa / Sconosciuto</t>
        </is>
      </c>
      <c r="L440" s="2" t="n">
        <v>1</v>
      </c>
      <c r="M440" s="2" t="n">
        <v>1</v>
      </c>
    </row>
    <row r="441">
      <c r="A441" s="2" t="inlineStr">
        <is>
          <t>Laerke</t>
        </is>
      </c>
      <c r="B441" s="2" t="inlineStr">
        <is>
          <t>Lecce</t>
        </is>
      </c>
      <c r="C441" s="2" t="inlineStr">
        <is>
          <t>C</t>
        </is>
      </c>
      <c r="D441" s="2" t="inlineStr">
        <is>
          <t>W/A</t>
        </is>
      </c>
      <c r="E441" s="2" t="n">
        <v>1</v>
      </c>
      <c r="F441" s="2" t="n">
        <v>0.7</v>
      </c>
      <c r="G441" s="2" t="n">
        <v>0.5</v>
      </c>
      <c r="H441" s="8" t="inlineStr">
        <is>
          <t>🪑 Riserva Fissa (da fasciaFc)</t>
        </is>
      </c>
      <c r="I441" s="2">
        <f>MAX(1,TRUNC(L441*(Impostazioni!$B$2/500)*1*M441*INDEX(Impostazioni!$E$23:$E$29,MATCH(H441,Impostazioni!$D$23:$D$29,0))))</f>
        <v/>
      </c>
      <c r="J441" s="9">
        <f>MAX(1,TRUNC(L441*(Impostazioni!$B$2/500)*INDEX(Motore!$A$5:$H$8,MATCH(C441,Motore!$A$5:$A$8,0),8)*M441*INDEX(Impostazioni!$E$23:$E$29,MATCH(H441,Impostazioni!$D$23:$D$29,0))))</f>
        <v/>
      </c>
      <c r="K441" s="2" t="inlineStr">
        <is>
          <t>Scommessa / Sconosciuto</t>
        </is>
      </c>
      <c r="L441" s="2" t="n">
        <v>1</v>
      </c>
      <c r="M441" s="2" t="n">
        <v>1</v>
      </c>
    </row>
    <row r="442">
      <c r="A442" s="2" t="inlineStr">
        <is>
          <t>Lahdo</t>
        </is>
      </c>
      <c r="B442" s="2" t="inlineStr">
        <is>
          <t>Como</t>
        </is>
      </c>
      <c r="C442" s="2" t="inlineStr">
        <is>
          <t>C</t>
        </is>
      </c>
      <c r="D442" s="2" t="inlineStr">
        <is>
          <t>C/T</t>
        </is>
      </c>
      <c r="E442" s="2" t="n">
        <v>1</v>
      </c>
      <c r="F442" s="2" t="n">
        <v>0.75</v>
      </c>
      <c r="G442" s="2" t="n">
        <v>0.5</v>
      </c>
      <c r="H442" s="8" t="inlineStr">
        <is>
          <t>🟡 Ballottaggio</t>
        </is>
      </c>
      <c r="I442" s="2">
        <f>MAX(1,TRUNC(L442*(Impostazioni!$B$2/500)*1*M442*INDEX(Impostazioni!$E$23:$E$29,MATCH(H442,Impostazioni!$D$23:$D$29,0))))</f>
        <v/>
      </c>
      <c r="J442" s="9">
        <f>MAX(1,TRUNC(L442*(Impostazioni!$B$2/500)*INDEX(Motore!$A$5:$H$8,MATCH(C442,Motore!$A$5:$A$8,0),8)*M442*INDEX(Impostazioni!$E$23:$E$29,MATCH(H442,Impostazioni!$D$23:$D$29,0))))</f>
        <v/>
      </c>
      <c r="K442" s="2" t="inlineStr">
        <is>
          <t>Scommessa / Sconosciuto</t>
        </is>
      </c>
      <c r="L442" s="2" t="n">
        <v>1</v>
      </c>
      <c r="M442" s="2" t="n">
        <v>1</v>
      </c>
    </row>
    <row r="443">
      <c r="A443" s="2" t="inlineStr">
        <is>
          <t>Liteta</t>
        </is>
      </c>
      <c r="B443" s="2" t="inlineStr">
        <is>
          <t>Cagliari</t>
        </is>
      </c>
      <c r="C443" s="2" t="inlineStr">
        <is>
          <t>C</t>
        </is>
      </c>
      <c r="D443" s="2" t="inlineStr">
        <is>
          <t>M;C</t>
        </is>
      </c>
      <c r="E443" s="2" t="n">
        <v>1</v>
      </c>
      <c r="F443" s="2" t="n">
        <v>0.5</v>
      </c>
      <c r="G443" s="2" t="n">
        <v>0.5</v>
      </c>
      <c r="H443" s="8" t="inlineStr">
        <is>
          <t>🟡 Ballottaggio</t>
        </is>
      </c>
      <c r="I443" s="2">
        <f>MAX(1,TRUNC(L443*(Impostazioni!$B$2/500)*1*M443*INDEX(Impostazioni!$E$23:$E$29,MATCH(H443,Impostazioni!$D$23:$D$29,0))))</f>
        <v/>
      </c>
      <c r="J443" s="9">
        <f>MAX(1,TRUNC(L443*(Impostazioni!$B$2/500)*INDEX(Motore!$A$5:$H$8,MATCH(C443,Motore!$A$5:$A$8,0),8)*M443*INDEX(Impostazioni!$E$23:$E$29,MATCH(H443,Impostazioni!$D$23:$D$29,0))))</f>
        <v/>
      </c>
      <c r="K443" s="2" t="inlineStr">
        <is>
          <t>Scommessa / Sconosciuto</t>
        </is>
      </c>
      <c r="L443" s="2" t="n">
        <v>1</v>
      </c>
      <c r="M443" s="2" t="n">
        <v>1</v>
      </c>
    </row>
    <row r="444">
      <c r="A444" s="2" t="inlineStr">
        <is>
          <t>Mout</t>
        </is>
      </c>
      <c r="B444" s="2" t="inlineStr">
        <is>
          <t>Monza</t>
        </is>
      </c>
      <c r="C444" s="2" t="inlineStr">
        <is>
          <t>C</t>
        </is>
      </c>
      <c r="D444" s="2" t="inlineStr">
        <is>
          <t>C</t>
        </is>
      </c>
      <c r="E444" s="2" t="n">
        <v>1</v>
      </c>
      <c r="F444" s="2" t="n">
        <v>0.8</v>
      </c>
      <c r="G444" s="2" t="n">
        <v>0.5</v>
      </c>
      <c r="H444" s="8" t="inlineStr">
        <is>
          <t>🪑 Riserva Fissa (da fasciaFc)</t>
        </is>
      </c>
      <c r="I444" s="2">
        <f>MAX(1,TRUNC(L444*(Impostazioni!$B$2/500)*1*M444*INDEX(Impostazioni!$E$23:$E$29,MATCH(H444,Impostazioni!$D$23:$D$29,0))))</f>
        <v/>
      </c>
      <c r="J444" s="9">
        <f>MAX(1,TRUNC(L444*(Impostazioni!$B$2/500)*INDEX(Motore!$A$5:$H$8,MATCH(C444,Motore!$A$5:$A$8,0),8)*M444*INDEX(Impostazioni!$E$23:$E$29,MATCH(H444,Impostazioni!$D$23:$D$29,0))))</f>
        <v/>
      </c>
      <c r="K444" s="2" t="inlineStr">
        <is>
          <t>Scommessa / Sconosciuto</t>
        </is>
      </c>
      <c r="L444" s="2" t="n">
        <v>1</v>
      </c>
      <c r="M444" s="2" t="n">
        <v>1</v>
      </c>
    </row>
    <row r="445">
      <c r="A445" s="2" t="inlineStr">
        <is>
          <t>Przyborek</t>
        </is>
      </c>
      <c r="B445" s="2" t="inlineStr">
        <is>
          <t>Lazio</t>
        </is>
      </c>
      <c r="C445" s="2" t="inlineStr">
        <is>
          <t>C</t>
        </is>
      </c>
      <c r="D445" s="2" t="inlineStr">
        <is>
          <t>W;T</t>
        </is>
      </c>
      <c r="E445" s="2" t="n">
        <v>1</v>
      </c>
      <c r="F445" s="2" t="n">
        <v>0.7</v>
      </c>
      <c r="G445" s="2" t="n">
        <v>0.5</v>
      </c>
      <c r="H445" s="8" t="inlineStr">
        <is>
          <t>🪑 Riserva Fissa (da fasciaFc)</t>
        </is>
      </c>
      <c r="I445" s="2">
        <f>MAX(1,TRUNC(L445*(Impostazioni!$B$2/500)*1*M445*INDEX(Impostazioni!$E$23:$E$29,MATCH(H445,Impostazioni!$D$23:$D$29,0))))</f>
        <v/>
      </c>
      <c r="J445" s="9">
        <f>MAX(1,TRUNC(L445*(Impostazioni!$B$2/500)*INDEX(Motore!$A$5:$H$8,MATCH(C445,Motore!$A$5:$A$8,0),8)*M445*INDEX(Impostazioni!$E$23:$E$29,MATCH(H445,Impostazioni!$D$23:$D$29,0))))</f>
        <v/>
      </c>
      <c r="K445" s="2" t="inlineStr">
        <is>
          <t>Scommessa / Sconosciuto</t>
        </is>
      </c>
      <c r="L445" s="2" t="n">
        <v>1</v>
      </c>
      <c r="M445" s="2" t="n">
        <v>1</v>
      </c>
    </row>
    <row r="446">
      <c r="A446" s="2" t="inlineStr">
        <is>
          <t>Sierro</t>
        </is>
      </c>
      <c r="B446" s="2" t="inlineStr">
        <is>
          <t>Parma</t>
        </is>
      </c>
      <c r="C446" s="2" t="inlineStr">
        <is>
          <t>C</t>
        </is>
      </c>
      <c r="D446" s="2" t="inlineStr">
        <is>
          <t>M;C</t>
        </is>
      </c>
      <c r="E446" s="2" t="n">
        <v>1</v>
      </c>
      <c r="F446" s="2" t="n"/>
      <c r="G446" s="2" t="n"/>
      <c r="H446" s="8" t="inlineStr">
        <is>
          <t>Normale</t>
        </is>
      </c>
      <c r="I446" s="2">
        <f>MAX(1,TRUNC(L446*(Impostazioni!$B$2/500)*1*M446*INDEX(Impostazioni!$E$23:$E$29,MATCH(H446,Impostazioni!$D$23:$D$29,0))))</f>
        <v/>
      </c>
      <c r="J446" s="9">
        <f>MAX(1,TRUNC(L446*(Impostazioni!$B$2/500)*INDEX(Motore!$A$5:$H$8,MATCH(C446,Motore!$A$5:$A$8,0),8)*M446*INDEX(Impostazioni!$E$23:$E$29,MATCH(H446,Impostazioni!$D$23:$D$29,0))))</f>
        <v/>
      </c>
      <c r="K446" s="2" t="inlineStr">
        <is>
          <t>Scommessa / Sconosciuto</t>
        </is>
      </c>
      <c r="L446" s="2" t="n">
        <v>1</v>
      </c>
      <c r="M446" s="2" t="n">
        <v>1</v>
      </c>
    </row>
    <row r="447">
      <c r="A447" s="2" t="inlineStr">
        <is>
          <t>Malen</t>
        </is>
      </c>
      <c r="B447" s="2" t="inlineStr">
        <is>
          <t>Roma</t>
        </is>
      </c>
      <c r="C447" s="2" t="inlineStr">
        <is>
          <t>A</t>
        </is>
      </c>
      <c r="D447" s="2" t="inlineStr">
        <is>
          <t>Pc</t>
        </is>
      </c>
      <c r="E447" s="2" t="n">
        <v>38</v>
      </c>
      <c r="F447" s="2" t="n">
        <v>210.65</v>
      </c>
      <c r="G447" s="2" t="n">
        <v>219.2</v>
      </c>
      <c r="H447" s="8" t="inlineStr">
        <is>
          <t>Normale</t>
        </is>
      </c>
      <c r="I447" s="2">
        <f>MAX(1,TRUNC(L447*(Impostazioni!$B$2/500)*1*M447*INDEX(Impostazioni!$E$23:$E$29,MATCH(H447,Impostazioni!$D$23:$D$29,0))))</f>
        <v/>
      </c>
      <c r="J447" s="9">
        <f>MAX(1,TRUNC(L447*(Impostazioni!$B$2/500)*INDEX(Motore!$A$5:$H$8,MATCH(C447,Motore!$A$5:$A$8,0),8)*M447*INDEX(Impostazioni!$E$23:$E$29,MATCH(H447,Impostazioni!$D$23:$D$29,0))))</f>
        <v/>
      </c>
      <c r="K447" s="2" t="inlineStr">
        <is>
          <t>🌟 Nuovo Arrivo TOP</t>
        </is>
      </c>
      <c r="L447" s="2" t="n">
        <v>91.2</v>
      </c>
      <c r="M447" s="2" t="n">
        <v>1</v>
      </c>
    </row>
    <row r="448">
      <c r="A448" s="2" t="inlineStr">
        <is>
          <t>Martinez L.</t>
        </is>
      </c>
      <c r="B448" s="2" t="inlineStr">
        <is>
          <t>Inter</t>
        </is>
      </c>
      <c r="C448" s="2" t="inlineStr">
        <is>
          <t>A</t>
        </is>
      </c>
      <c r="D448" s="2" t="inlineStr">
        <is>
          <t>Pc</t>
        </is>
      </c>
      <c r="E448" s="2" t="n">
        <v>33</v>
      </c>
      <c r="F448" s="2" t="n">
        <v>176.1</v>
      </c>
      <c r="G448" s="2" t="n">
        <v>204.5</v>
      </c>
      <c r="H448" s="8" t="inlineStr">
        <is>
          <t>Normale</t>
        </is>
      </c>
      <c r="I448" s="2">
        <f>MAX(1,TRUNC(L448*(Impostazioni!$B$2/500)*1*M448*INDEX(Impostazioni!$E$23:$E$29,MATCH(H448,Impostazioni!$D$23:$D$29,0))))</f>
        <v/>
      </c>
      <c r="J448" s="9">
        <f>MAX(1,TRUNC(L448*(Impostazioni!$B$2/500)*INDEX(Motore!$A$5:$H$8,MATCH(C448,Motore!$A$5:$A$8,0),8)*M448*INDEX(Impostazioni!$E$23:$E$29,MATCH(H448,Impostazioni!$D$23:$D$29,0))))</f>
        <v/>
      </c>
      <c r="K448" s="2" t="inlineStr">
        <is>
          <t>🌟 Nuovo Arrivo TOP</t>
        </is>
      </c>
      <c r="L448" s="2" t="n">
        <v>79.2</v>
      </c>
      <c r="M448" s="2" t="n">
        <v>1</v>
      </c>
    </row>
    <row r="449">
      <c r="A449" s="2" t="inlineStr">
        <is>
          <t>Hojlund</t>
        </is>
      </c>
      <c r="B449" s="2" t="inlineStr">
        <is>
          <t>Napoli</t>
        </is>
      </c>
      <c r="C449" s="2" t="inlineStr">
        <is>
          <t>A</t>
        </is>
      </c>
      <c r="D449" s="2" t="inlineStr">
        <is>
          <t>Pc</t>
        </is>
      </c>
      <c r="E449" s="2" t="n">
        <v>28</v>
      </c>
      <c r="F449" s="2" t="n">
        <v>125.3</v>
      </c>
      <c r="G449" s="2" t="n">
        <v>152.5</v>
      </c>
      <c r="H449" s="8" t="inlineStr">
        <is>
          <t>Normale</t>
        </is>
      </c>
      <c r="I449" s="2">
        <f>MAX(1,TRUNC(L449*(Impostazioni!$B$2/500)*1*M449*INDEX(Impostazioni!$E$23:$E$29,MATCH(H449,Impostazioni!$D$23:$D$29,0))))</f>
        <v/>
      </c>
      <c r="J449" s="9">
        <f>MAX(1,TRUNC(L449*(Impostazioni!$B$2/500)*INDEX(Motore!$A$5:$H$8,MATCH(C449,Motore!$A$5:$A$8,0),8)*M449*INDEX(Impostazioni!$E$23:$E$29,MATCH(H449,Impostazioni!$D$23:$D$29,0))))</f>
        <v/>
      </c>
      <c r="K449" s="2" t="inlineStr">
        <is>
          <t>🌟 Nuovo Arrivo TOP</t>
        </is>
      </c>
      <c r="L449" s="2" t="n">
        <v>67.2</v>
      </c>
      <c r="M449" s="2" t="n">
        <v>1</v>
      </c>
    </row>
    <row r="450">
      <c r="A450" s="2" t="inlineStr">
        <is>
          <t>Thuram</t>
        </is>
      </c>
      <c r="B450" s="2" t="inlineStr">
        <is>
          <t>Inter</t>
        </is>
      </c>
      <c r="C450" s="2" t="inlineStr">
        <is>
          <t>A</t>
        </is>
      </c>
      <c r="D450" s="2" t="inlineStr">
        <is>
          <t>Pc</t>
        </is>
      </c>
      <c r="E450" s="2" t="n">
        <v>28</v>
      </c>
      <c r="F450" s="2" t="n">
        <v>96.7</v>
      </c>
      <c r="G450" s="2" t="n">
        <v>141.85</v>
      </c>
      <c r="H450" s="8" t="inlineStr">
        <is>
          <t>Normale</t>
        </is>
      </c>
      <c r="I450" s="2">
        <f>MAX(1,TRUNC(L450*(Impostazioni!$B$2/500)*1*M450*INDEX(Impostazioni!$E$23:$E$29,MATCH(H450,Impostazioni!$D$23:$D$29,0))))</f>
        <v/>
      </c>
      <c r="J450" s="9">
        <f>MAX(1,TRUNC(L450*(Impostazioni!$B$2/500)*INDEX(Motore!$A$5:$H$8,MATCH(C450,Motore!$A$5:$A$8,0),8)*M450*INDEX(Impostazioni!$E$23:$E$29,MATCH(H450,Impostazioni!$D$23:$D$29,0))))</f>
        <v/>
      </c>
      <c r="K450" s="2" t="inlineStr">
        <is>
          <t>🌟 Nuovo Arrivo TOP</t>
        </is>
      </c>
      <c r="L450" s="2" t="n">
        <v>67.2</v>
      </c>
      <c r="M450" s="2" t="n">
        <v>1</v>
      </c>
    </row>
    <row r="451">
      <c r="A451" s="2" t="inlineStr">
        <is>
          <t>Ramos G.</t>
        </is>
      </c>
      <c r="B451" s="2" t="inlineStr">
        <is>
          <t>Milan</t>
        </is>
      </c>
      <c r="C451" s="2" t="inlineStr">
        <is>
          <t>A</t>
        </is>
      </c>
      <c r="D451" s="2" t="inlineStr">
        <is>
          <t>Pc</t>
        </is>
      </c>
      <c r="E451" s="2" t="n">
        <v>27</v>
      </c>
      <c r="F451" s="2" t="n">
        <v>141.5</v>
      </c>
      <c r="G451" s="2" t="n">
        <v>162.9</v>
      </c>
      <c r="H451" s="8" t="inlineStr">
        <is>
          <t>🎯 Rigorista designato</t>
        </is>
      </c>
      <c r="I451" s="2">
        <f>MAX(1,TRUNC(L451*(Impostazioni!$B$2/500)*1*M451*INDEX(Impostazioni!$E$23:$E$29,MATCH(H451,Impostazioni!$D$23:$D$29,0))))</f>
        <v/>
      </c>
      <c r="J451" s="9">
        <f>MAX(1,TRUNC(L451*(Impostazioni!$B$2/500)*INDEX(Motore!$A$5:$H$8,MATCH(C451,Motore!$A$5:$A$8,0),8)*M451*INDEX(Impostazioni!$E$23:$E$29,MATCH(H451,Impostazioni!$D$23:$D$29,0))))</f>
        <v/>
      </c>
      <c r="K451" s="2" t="inlineStr">
        <is>
          <t>🌟 Nuovo Arrivo TOP</t>
        </is>
      </c>
      <c r="L451" s="2" t="n">
        <v>64.8</v>
      </c>
      <c r="M451" s="2" t="n">
        <v>1</v>
      </c>
    </row>
    <row r="452">
      <c r="A452" s="2" t="inlineStr">
        <is>
          <t>Kolo Muani</t>
        </is>
      </c>
      <c r="B452" s="2" t="inlineStr">
        <is>
          <t>Juventus</t>
        </is>
      </c>
      <c r="C452" s="2" t="inlineStr">
        <is>
          <t>A</t>
        </is>
      </c>
      <c r="D452" s="2" t="inlineStr">
        <is>
          <t>Pc</t>
        </is>
      </c>
      <c r="E452" s="2" t="n">
        <v>25</v>
      </c>
      <c r="F452" s="2" t="n">
        <v>82.65000000000001</v>
      </c>
      <c r="G452" s="2" t="n">
        <v>126.7</v>
      </c>
      <c r="H452" s="8" t="inlineStr">
        <is>
          <t>🎯🟡 Rigorista in Ballottaggio</t>
        </is>
      </c>
      <c r="I452" s="2">
        <f>MAX(1,TRUNC(L452*(Impostazioni!$B$2/500)*1*M452*INDEX(Impostazioni!$E$23:$E$29,MATCH(H452,Impostazioni!$D$23:$D$29,0))))</f>
        <v/>
      </c>
      <c r="J452" s="9">
        <f>MAX(1,TRUNC(L452*(Impostazioni!$B$2/500)*INDEX(Motore!$A$5:$H$8,MATCH(C452,Motore!$A$5:$A$8,0),8)*M452*INDEX(Impostazioni!$E$23:$E$29,MATCH(H452,Impostazioni!$D$23:$D$29,0))))</f>
        <v/>
      </c>
      <c r="K452" s="2" t="inlineStr">
        <is>
          <t>🌟 Nuovo Arrivo TOP</t>
        </is>
      </c>
      <c r="L452" s="2" t="n">
        <v>60</v>
      </c>
      <c r="M452" s="2" t="n">
        <v>1</v>
      </c>
    </row>
    <row r="453">
      <c r="A453" s="2" t="inlineStr">
        <is>
          <t>Kean</t>
        </is>
      </c>
      <c r="B453" s="2" t="inlineStr">
        <is>
          <t>Como</t>
        </is>
      </c>
      <c r="C453" s="2" t="inlineStr">
        <is>
          <t>A</t>
        </is>
      </c>
      <c r="D453" s="2" t="inlineStr">
        <is>
          <t>Pc</t>
        </is>
      </c>
      <c r="E453" s="2" t="n">
        <v>24</v>
      </c>
      <c r="F453" s="2" t="n">
        <v>75</v>
      </c>
      <c r="G453" s="2" t="n">
        <v>102.5</v>
      </c>
      <c r="H453" s="8" t="inlineStr">
        <is>
          <t>🟡 Ballottaggio</t>
        </is>
      </c>
      <c r="I453" s="2">
        <f>MAX(1,TRUNC(L453*(Impostazioni!$B$2/500)*1*M453*INDEX(Impostazioni!$E$23:$E$29,MATCH(H453,Impostazioni!$D$23:$D$29,0))))</f>
        <v/>
      </c>
      <c r="J453" s="9">
        <f>MAX(1,TRUNC(L453*(Impostazioni!$B$2/500)*INDEX(Motore!$A$5:$H$8,MATCH(C453,Motore!$A$5:$A$8,0),8)*M453*INDEX(Impostazioni!$E$23:$E$29,MATCH(H453,Impostazioni!$D$23:$D$29,0))))</f>
        <v/>
      </c>
      <c r="K453" s="2" t="inlineStr">
        <is>
          <t>🌟 Nuovo Arrivo TOP</t>
        </is>
      </c>
      <c r="L453" s="2" t="n">
        <v>57.6</v>
      </c>
      <c r="M453" s="2" t="n">
        <v>1</v>
      </c>
    </row>
    <row r="454">
      <c r="A454" s="2" t="inlineStr">
        <is>
          <t>Woltemade</t>
        </is>
      </c>
      <c r="B454" s="2" t="inlineStr">
        <is>
          <t>Juventus</t>
        </is>
      </c>
      <c r="C454" s="2" t="inlineStr">
        <is>
          <t>A</t>
        </is>
      </c>
      <c r="D454" s="2" t="inlineStr">
        <is>
          <t>A</t>
        </is>
      </c>
      <c r="E454" s="2" t="n">
        <v>23</v>
      </c>
      <c r="F454" s="2" t="n">
        <v>53.45</v>
      </c>
      <c r="G454" s="2" t="n">
        <v>59.8</v>
      </c>
      <c r="H454" s="8" t="inlineStr">
        <is>
          <t>🟡 Ballottaggio</t>
        </is>
      </c>
      <c r="I454" s="2">
        <f>MAX(1,TRUNC(L454*(Impostazioni!$B$2/500)*1*M454*INDEX(Impostazioni!$E$23:$E$29,MATCH(H454,Impostazioni!$D$23:$D$29,0))))</f>
        <v/>
      </c>
      <c r="J454" s="9">
        <f>MAX(1,TRUNC(L454*(Impostazioni!$B$2/500)*INDEX(Motore!$A$5:$H$8,MATCH(C454,Motore!$A$5:$A$8,0),8)*M454*INDEX(Impostazioni!$E$23:$E$29,MATCH(H454,Impostazioni!$D$23:$D$29,0))))</f>
        <v/>
      </c>
      <c r="K454" s="2" t="inlineStr">
        <is>
          <t>🌟 Nuovo Arrivo TOP</t>
        </is>
      </c>
      <c r="L454" s="2" t="n">
        <v>55.2</v>
      </c>
      <c r="M454" s="2" t="n">
        <v>1</v>
      </c>
    </row>
    <row r="455">
      <c r="A455" s="2" t="inlineStr">
        <is>
          <t>Douvikas</t>
        </is>
      </c>
      <c r="B455" s="2" t="inlineStr">
        <is>
          <t>Como</t>
        </is>
      </c>
      <c r="C455" s="2" t="inlineStr">
        <is>
          <t>A</t>
        </is>
      </c>
      <c r="D455" s="2" t="inlineStr">
        <is>
          <t>Pc</t>
        </is>
      </c>
      <c r="E455" s="2" t="n">
        <v>22</v>
      </c>
      <c r="F455" s="2" t="n">
        <v>53.2</v>
      </c>
      <c r="G455" s="2" t="n">
        <v>74.75</v>
      </c>
      <c r="H455" s="8" t="inlineStr">
        <is>
          <t>🟡 Ballottaggio</t>
        </is>
      </c>
      <c r="I455" s="2">
        <f>MAX(1,TRUNC(L455*(Impostazioni!$B$2/500)*1*M455*INDEX(Impostazioni!$E$23:$E$29,MATCH(H455,Impostazioni!$D$23:$D$29,0))))</f>
        <v/>
      </c>
      <c r="J455" s="9">
        <f>MAX(1,TRUNC(L455*(Impostazioni!$B$2/500)*INDEX(Motore!$A$5:$H$8,MATCH(C455,Motore!$A$5:$A$8,0),8)*M455*INDEX(Impostazioni!$E$23:$E$29,MATCH(H455,Impostazioni!$D$23:$D$29,0))))</f>
        <v/>
      </c>
      <c r="K455" s="2" t="inlineStr">
        <is>
          <t>🌟 Nuovo Arrivo TOP</t>
        </is>
      </c>
      <c r="L455" s="2" t="n">
        <v>52.8</v>
      </c>
      <c r="M455" s="2" t="n">
        <v>1</v>
      </c>
    </row>
    <row r="456">
      <c r="A456" s="2" t="inlineStr">
        <is>
          <t>Yildiz</t>
        </is>
      </c>
      <c r="B456" s="2" t="inlineStr">
        <is>
          <t>Juventus</t>
        </is>
      </c>
      <c r="C456" s="2" t="inlineStr">
        <is>
          <t>A</t>
        </is>
      </c>
      <c r="D456" s="2" t="inlineStr">
        <is>
          <t>A</t>
        </is>
      </c>
      <c r="E456" s="2" t="n">
        <v>22</v>
      </c>
      <c r="F456" s="2" t="n">
        <v>29.75</v>
      </c>
      <c r="G456" s="2" t="n">
        <v>38.25</v>
      </c>
      <c r="H456" s="8" t="inlineStr">
        <is>
          <t>🔴 Infortunato/Dubbio</t>
        </is>
      </c>
      <c r="I456" s="2">
        <f>MAX(1,TRUNC(L456*(Impostazioni!$B$2/500)*1*M456*INDEX(Impostazioni!$E$23:$E$29,MATCH(H456,Impostazioni!$D$23:$D$29,0))))</f>
        <v/>
      </c>
      <c r="J456" s="9">
        <f>MAX(1,TRUNC(L456*(Impostazioni!$B$2/500)*INDEX(Motore!$A$5:$H$8,MATCH(C456,Motore!$A$5:$A$8,0),8)*M456*INDEX(Impostazioni!$E$23:$E$29,MATCH(H456,Impostazioni!$D$23:$D$29,0))))</f>
        <v/>
      </c>
      <c r="K456" s="2" t="inlineStr">
        <is>
          <t>🌟 Nuovo Arrivo TOP</t>
        </is>
      </c>
      <c r="L456" s="2" t="n">
        <v>52.8</v>
      </c>
      <c r="M456" s="2" t="n">
        <v>1</v>
      </c>
    </row>
    <row r="457">
      <c r="A457" s="2" t="inlineStr">
        <is>
          <t>Berardi</t>
        </is>
      </c>
      <c r="B457" s="2" t="inlineStr">
        <is>
          <t>Sassuolo</t>
        </is>
      </c>
      <c r="C457" s="2" t="inlineStr">
        <is>
          <t>A</t>
        </is>
      </c>
      <c r="D457" s="2" t="inlineStr">
        <is>
          <t>A</t>
        </is>
      </c>
      <c r="E457" s="2" t="n">
        <v>19</v>
      </c>
      <c r="F457" s="2" t="n">
        <v>34.65</v>
      </c>
      <c r="G457" s="2" t="n">
        <v>50.8</v>
      </c>
      <c r="H457" s="8" t="inlineStr">
        <is>
          <t>🔴 Infortunato/Dubbio</t>
        </is>
      </c>
      <c r="I457" s="2">
        <f>MAX(1,TRUNC(L457*(Impostazioni!$B$2/500)*1*M457*INDEX(Impostazioni!$E$23:$E$29,MATCH(H457,Impostazioni!$D$23:$D$29,0))))</f>
        <v/>
      </c>
      <c r="J457" s="9">
        <f>MAX(1,TRUNC(L457*(Impostazioni!$B$2/500)*INDEX(Motore!$A$5:$H$8,MATCH(C457,Motore!$A$5:$A$8,0),8)*M457*INDEX(Impostazioni!$E$23:$E$29,MATCH(H457,Impostazioni!$D$23:$D$29,0))))</f>
        <v/>
      </c>
      <c r="K457" s="2" t="inlineStr">
        <is>
          <t>🌟 Nuovo Arrivo TOP</t>
        </is>
      </c>
      <c r="L457" s="2" t="n">
        <v>45.6</v>
      </c>
      <c r="M457" s="2" t="n">
        <v>1</v>
      </c>
    </row>
    <row r="458">
      <c r="A458" s="2" t="inlineStr">
        <is>
          <t>Davis K.</t>
        </is>
      </c>
      <c r="B458" s="2" t="inlineStr">
        <is>
          <t>Udinese</t>
        </is>
      </c>
      <c r="C458" s="2" t="inlineStr">
        <is>
          <t>A</t>
        </is>
      </c>
      <c r="D458" s="2" t="inlineStr">
        <is>
          <t>Pc</t>
        </is>
      </c>
      <c r="E458" s="2" t="n">
        <v>19</v>
      </c>
      <c r="F458" s="2" t="n">
        <v>33.35</v>
      </c>
      <c r="G458" s="2" t="n">
        <v>72.55</v>
      </c>
      <c r="H458" s="8" t="inlineStr">
        <is>
          <t>🎯 Rigorista designato</t>
        </is>
      </c>
      <c r="I458" s="2">
        <f>MAX(1,TRUNC(L458*(Impostazioni!$B$2/500)*1*M458*INDEX(Impostazioni!$E$23:$E$29,MATCH(H458,Impostazioni!$D$23:$D$29,0))))</f>
        <v/>
      </c>
      <c r="J458" s="9">
        <f>MAX(1,TRUNC(L458*(Impostazioni!$B$2/500)*INDEX(Motore!$A$5:$H$8,MATCH(C458,Motore!$A$5:$A$8,0),8)*M458*INDEX(Impostazioni!$E$23:$E$29,MATCH(H458,Impostazioni!$D$23:$D$29,0))))</f>
        <v/>
      </c>
      <c r="K458" s="2" t="inlineStr">
        <is>
          <t>🌟 Nuovo Arrivo TOP</t>
        </is>
      </c>
      <c r="L458" s="2" t="n">
        <v>45.6</v>
      </c>
      <c r="M458" s="2" t="n">
        <v>1</v>
      </c>
    </row>
    <row r="459">
      <c r="A459" s="2" t="inlineStr">
        <is>
          <t>Scamacca</t>
        </is>
      </c>
      <c r="B459" s="2" t="inlineStr">
        <is>
          <t>Atalanta</t>
        </is>
      </c>
      <c r="C459" s="2" t="inlineStr">
        <is>
          <t>A</t>
        </is>
      </c>
      <c r="D459" s="2" t="inlineStr">
        <is>
          <t>Pc</t>
        </is>
      </c>
      <c r="E459" s="2" t="n">
        <v>19</v>
      </c>
      <c r="F459" s="2" t="n">
        <v>43.05</v>
      </c>
      <c r="G459" s="2" t="n">
        <v>78.5</v>
      </c>
      <c r="H459" s="8" t="inlineStr">
        <is>
          <t>🟡 Ballottaggio</t>
        </is>
      </c>
      <c r="I459" s="2">
        <f>MAX(1,TRUNC(L459*(Impostazioni!$B$2/500)*1*M459*INDEX(Impostazioni!$E$23:$E$29,MATCH(H459,Impostazioni!$D$23:$D$29,0))))</f>
        <v/>
      </c>
      <c r="J459" s="9">
        <f>MAX(1,TRUNC(L459*(Impostazioni!$B$2/500)*INDEX(Motore!$A$5:$H$8,MATCH(C459,Motore!$A$5:$A$8,0),8)*M459*INDEX(Impostazioni!$E$23:$E$29,MATCH(H459,Impostazioni!$D$23:$D$29,0))))</f>
        <v/>
      </c>
      <c r="K459" s="2" t="inlineStr">
        <is>
          <t>🌟 Nuovo Arrivo TOP</t>
        </is>
      </c>
      <c r="L459" s="2" t="n">
        <v>45.6</v>
      </c>
      <c r="M459" s="2" t="n">
        <v>1</v>
      </c>
    </row>
    <row r="460">
      <c r="A460" s="2" t="inlineStr">
        <is>
          <t>Krstovic</t>
        </is>
      </c>
      <c r="B460" s="2" t="inlineStr">
        <is>
          <t>Atalanta</t>
        </is>
      </c>
      <c r="C460" s="2" t="inlineStr">
        <is>
          <t>A</t>
        </is>
      </c>
      <c r="D460" s="2" t="inlineStr">
        <is>
          <t>Pc</t>
        </is>
      </c>
      <c r="E460" s="2" t="n">
        <v>18</v>
      </c>
      <c r="F460" s="2" t="n">
        <v>26.3</v>
      </c>
      <c r="G460" s="2" t="n">
        <v>52.35</v>
      </c>
      <c r="H460" s="8" t="inlineStr">
        <is>
          <t>🟡 Ballottaggio</t>
        </is>
      </c>
      <c r="I460" s="2">
        <f>MAX(1,TRUNC(L460*(Impostazioni!$B$2/500)*1*M460*INDEX(Impostazioni!$E$23:$E$29,MATCH(H460,Impostazioni!$D$23:$D$29,0))))</f>
        <v/>
      </c>
      <c r="J460" s="9">
        <f>MAX(1,TRUNC(L460*(Impostazioni!$B$2/500)*INDEX(Motore!$A$5:$H$8,MATCH(C460,Motore!$A$5:$A$8,0),8)*M460*INDEX(Impostazioni!$E$23:$E$29,MATCH(H460,Impostazioni!$D$23:$D$29,0))))</f>
        <v/>
      </c>
      <c r="K460" s="2" t="inlineStr">
        <is>
          <t>🌟 Nuovo Arrivo TOP</t>
        </is>
      </c>
      <c r="L460" s="2" t="n">
        <v>43.2</v>
      </c>
      <c r="M460" s="2" t="n">
        <v>1</v>
      </c>
    </row>
    <row r="461">
      <c r="A461" s="2" t="inlineStr">
        <is>
          <t>De Ketelaere</t>
        </is>
      </c>
      <c r="B461" s="2" t="inlineStr">
        <is>
          <t>Atalanta</t>
        </is>
      </c>
      <c r="C461" s="2" t="inlineStr">
        <is>
          <t>A</t>
        </is>
      </c>
      <c r="D461" s="2" t="inlineStr">
        <is>
          <t>A</t>
        </is>
      </c>
      <c r="E461" s="2" t="n">
        <v>17</v>
      </c>
      <c r="F461" s="2" t="n">
        <v>24.9</v>
      </c>
      <c r="G461" s="2" t="n">
        <v>33.2</v>
      </c>
      <c r="H461" s="8" t="inlineStr">
        <is>
          <t>Normale</t>
        </is>
      </c>
      <c r="I461" s="2">
        <f>MAX(1,TRUNC(L461*(Impostazioni!$B$2/500)*1*M461*INDEX(Impostazioni!$E$23:$E$29,MATCH(H461,Impostazioni!$D$23:$D$29,0))))</f>
        <v/>
      </c>
      <c r="J461" s="9">
        <f>MAX(1,TRUNC(L461*(Impostazioni!$B$2/500)*INDEX(Motore!$A$5:$H$8,MATCH(C461,Motore!$A$5:$A$8,0),8)*M461*INDEX(Impostazioni!$E$23:$E$29,MATCH(H461,Impostazioni!$D$23:$D$29,0))))</f>
        <v/>
      </c>
      <c r="K461" s="2" t="inlineStr">
        <is>
          <t>🌟 Nuovo Arrivo TOP</t>
        </is>
      </c>
      <c r="L461" s="2" t="n">
        <v>40.8</v>
      </c>
      <c r="M461" s="2" t="n">
        <v>1</v>
      </c>
    </row>
    <row r="462">
      <c r="A462" s="2" t="inlineStr">
        <is>
          <t>Esposito F.P.</t>
        </is>
      </c>
      <c r="B462" s="2" t="inlineStr">
        <is>
          <t>Inter</t>
        </is>
      </c>
      <c r="C462" s="2" t="inlineStr">
        <is>
          <t>A</t>
        </is>
      </c>
      <c r="D462" s="2" t="inlineStr">
        <is>
          <t>Pc</t>
        </is>
      </c>
      <c r="E462" s="2" t="n">
        <v>17</v>
      </c>
      <c r="F462" s="2" t="n">
        <v>50.15</v>
      </c>
      <c r="G462" s="2" t="n">
        <v>57</v>
      </c>
      <c r="H462" s="8" t="inlineStr">
        <is>
          <t>Normale</t>
        </is>
      </c>
      <c r="I462" s="2">
        <f>MAX(1,TRUNC(L462*(Impostazioni!$B$2/500)*1*M462*INDEX(Impostazioni!$E$23:$E$29,MATCH(H462,Impostazioni!$D$23:$D$29,0))))</f>
        <v/>
      </c>
      <c r="J462" s="9">
        <f>MAX(1,TRUNC(L462*(Impostazioni!$B$2/500)*INDEX(Motore!$A$5:$H$8,MATCH(C462,Motore!$A$5:$A$8,0),8)*M462*INDEX(Impostazioni!$E$23:$E$29,MATCH(H462,Impostazioni!$D$23:$D$29,0))))</f>
        <v/>
      </c>
      <c r="K462" s="2" t="inlineStr">
        <is>
          <t>🌟 Nuovo Arrivo TOP</t>
        </is>
      </c>
      <c r="L462" s="2" t="n">
        <v>40.8</v>
      </c>
      <c r="M462" s="2" t="n">
        <v>1</v>
      </c>
    </row>
    <row r="463">
      <c r="A463" s="2" t="inlineStr">
        <is>
          <t>Dybala</t>
        </is>
      </c>
      <c r="B463" s="2" t="inlineStr">
        <is>
          <t>Roma</t>
        </is>
      </c>
      <c r="C463" s="2" t="inlineStr">
        <is>
          <t>A</t>
        </is>
      </c>
      <c r="D463" s="2" t="inlineStr">
        <is>
          <t>A</t>
        </is>
      </c>
      <c r="E463" s="2" t="n">
        <v>16</v>
      </c>
      <c r="F463" s="2" t="n">
        <v>54.7</v>
      </c>
      <c r="G463" s="2" t="n">
        <v>66.40000000000001</v>
      </c>
      <c r="H463" s="8" t="inlineStr">
        <is>
          <t>🎯 Rigorista designato</t>
        </is>
      </c>
      <c r="I463" s="2">
        <f>MAX(1,TRUNC(L463*(Impostazioni!$B$2/500)*1*M463*INDEX(Impostazioni!$E$23:$E$29,MATCH(H463,Impostazioni!$D$23:$D$29,0))))</f>
        <v/>
      </c>
      <c r="J463" s="9">
        <f>MAX(1,TRUNC(L463*(Impostazioni!$B$2/500)*INDEX(Motore!$A$5:$H$8,MATCH(C463,Motore!$A$5:$A$8,0),8)*M463*INDEX(Impostazioni!$E$23:$E$29,MATCH(H463,Impostazioni!$D$23:$D$29,0))))</f>
        <v/>
      </c>
      <c r="K463" s="2" t="inlineStr">
        <is>
          <t>🌟 Nuovo Arrivo TOP</t>
        </is>
      </c>
      <c r="L463" s="2" t="n">
        <v>38.4</v>
      </c>
      <c r="M463" s="2" t="n">
        <v>1</v>
      </c>
    </row>
    <row r="464">
      <c r="A464" s="2" t="inlineStr">
        <is>
          <t>Dovbyk</t>
        </is>
      </c>
      <c r="B464" s="2" t="inlineStr">
        <is>
          <t>Bologna</t>
        </is>
      </c>
      <c r="C464" s="2" t="inlineStr">
        <is>
          <t>A</t>
        </is>
      </c>
      <c r="D464" s="2" t="inlineStr">
        <is>
          <t>Pc</t>
        </is>
      </c>
      <c r="E464" s="2" t="n">
        <v>15</v>
      </c>
      <c r="F464" s="2" t="n">
        <v>8.050000000000001</v>
      </c>
      <c r="G464" s="2" t="n">
        <v>25.65</v>
      </c>
      <c r="H464" s="8" t="inlineStr">
        <is>
          <t>🟡 Ballottaggio</t>
        </is>
      </c>
      <c r="I464" s="2">
        <f>MAX(1,TRUNC(L464*(Impostazioni!$B$2/500)*1*M464*INDEX(Impostazioni!$E$23:$E$29,MATCH(H464,Impostazioni!$D$23:$D$29,0))))</f>
        <v/>
      </c>
      <c r="J464" s="9">
        <f>MAX(1,TRUNC(L464*(Impostazioni!$B$2/500)*INDEX(Motore!$A$5:$H$8,MATCH(C464,Motore!$A$5:$A$8,0),8)*M464*INDEX(Impostazioni!$E$23:$E$29,MATCH(H464,Impostazioni!$D$23:$D$29,0))))</f>
        <v/>
      </c>
      <c r="K464" s="2" t="inlineStr">
        <is>
          <t>🌟 Nuovo Arrivo TOP</t>
        </is>
      </c>
      <c r="L464" s="2" t="n">
        <v>36</v>
      </c>
      <c r="M464" s="2" t="n">
        <v>1</v>
      </c>
    </row>
    <row r="465">
      <c r="A465" s="2" t="inlineStr">
        <is>
          <t>Laurientè</t>
        </is>
      </c>
      <c r="B465" s="2" t="inlineStr">
        <is>
          <t>Sassuolo</t>
        </is>
      </c>
      <c r="C465" s="2" t="inlineStr">
        <is>
          <t>A</t>
        </is>
      </c>
      <c r="D465" s="2" t="inlineStr">
        <is>
          <t>A</t>
        </is>
      </c>
      <c r="E465" s="2" t="n">
        <v>15</v>
      </c>
      <c r="F465" s="2" t="n">
        <v>15.15</v>
      </c>
      <c r="G465" s="2" t="n">
        <v>26.6</v>
      </c>
      <c r="H465" s="8" t="inlineStr">
        <is>
          <t>Normale</t>
        </is>
      </c>
      <c r="I465" s="2">
        <f>MAX(1,TRUNC(L465*(Impostazioni!$B$2/500)*1*M465*INDEX(Impostazioni!$E$23:$E$29,MATCH(H465,Impostazioni!$D$23:$D$29,0))))</f>
        <v/>
      </c>
      <c r="J465" s="9">
        <f>MAX(1,TRUNC(L465*(Impostazioni!$B$2/500)*INDEX(Motore!$A$5:$H$8,MATCH(C465,Motore!$A$5:$A$8,0),8)*M465*INDEX(Impostazioni!$E$23:$E$29,MATCH(H465,Impostazioni!$D$23:$D$29,0))))</f>
        <v/>
      </c>
      <c r="K465" s="2" t="inlineStr">
        <is>
          <t>🌟 Nuovo Arrivo TOP</t>
        </is>
      </c>
      <c r="L465" s="2" t="n">
        <v>36</v>
      </c>
      <c r="M465" s="2" t="n">
        <v>1</v>
      </c>
    </row>
    <row r="466">
      <c r="A466" s="2" t="inlineStr">
        <is>
          <t>Beto</t>
        </is>
      </c>
      <c r="B466" s="2" t="inlineStr">
        <is>
          <t>Fiorentina</t>
        </is>
      </c>
      <c r="C466" s="2" t="inlineStr">
        <is>
          <t>A</t>
        </is>
      </c>
      <c r="D466" s="2" t="inlineStr">
        <is>
          <t>Pc</t>
        </is>
      </c>
      <c r="E466" s="2" t="n">
        <v>14</v>
      </c>
      <c r="F466" s="2" t="n">
        <v>18.4</v>
      </c>
      <c r="G466" s="2" t="n">
        <v>31.75</v>
      </c>
      <c r="H466" s="8" t="inlineStr">
        <is>
          <t>🟡 Ballottaggio</t>
        </is>
      </c>
      <c r="I466" s="2">
        <f>MAX(1,TRUNC(L466*(Impostazioni!$B$2/500)*1*M466*INDEX(Impostazioni!$E$23:$E$29,MATCH(H466,Impostazioni!$D$23:$D$29,0))))</f>
        <v/>
      </c>
      <c r="J466" s="9">
        <f>MAX(1,TRUNC(L466*(Impostazioni!$B$2/500)*INDEX(Motore!$A$5:$H$8,MATCH(C466,Motore!$A$5:$A$8,0),8)*M466*INDEX(Impostazioni!$E$23:$E$29,MATCH(H466,Impostazioni!$D$23:$D$29,0))))</f>
        <v/>
      </c>
      <c r="K466" s="2" t="inlineStr">
        <is>
          <t>🌟 Nuovo Arrivo TOP</t>
        </is>
      </c>
      <c r="L466" s="2" t="n">
        <v>33.6</v>
      </c>
      <c r="M466" s="2" t="n">
        <v>1</v>
      </c>
    </row>
    <row r="467">
      <c r="A467" s="2" t="inlineStr">
        <is>
          <t>Castro S.</t>
        </is>
      </c>
      <c r="B467" s="2" t="inlineStr">
        <is>
          <t>Roma</t>
        </is>
      </c>
      <c r="C467" s="2" t="inlineStr">
        <is>
          <t>A</t>
        </is>
      </c>
      <c r="D467" s="2" t="inlineStr">
        <is>
          <t>Pc</t>
        </is>
      </c>
      <c r="E467" s="2" t="n">
        <v>14</v>
      </c>
      <c r="F467" s="2" t="n">
        <v>8.9</v>
      </c>
      <c r="G467" s="2" t="n">
        <v>24.7</v>
      </c>
      <c r="H467" s="8" t="inlineStr">
        <is>
          <t>Normale</t>
        </is>
      </c>
      <c r="I467" s="2">
        <f>MAX(1,TRUNC(L467*(Impostazioni!$B$2/500)*1*M467*INDEX(Impostazioni!$E$23:$E$29,MATCH(H467,Impostazioni!$D$23:$D$29,0))))</f>
        <v/>
      </c>
      <c r="J467" s="9">
        <f>MAX(1,TRUNC(L467*(Impostazioni!$B$2/500)*INDEX(Motore!$A$5:$H$8,MATCH(C467,Motore!$A$5:$A$8,0),8)*M467*INDEX(Impostazioni!$E$23:$E$29,MATCH(H467,Impostazioni!$D$23:$D$29,0))))</f>
        <v/>
      </c>
      <c r="K467" s="2" t="inlineStr">
        <is>
          <t>🌟 Nuovo Arrivo TOP</t>
        </is>
      </c>
      <c r="L467" s="2" t="n">
        <v>33.6</v>
      </c>
      <c r="M467" s="2" t="n">
        <v>1</v>
      </c>
    </row>
    <row r="468">
      <c r="A468" s="2" t="inlineStr">
        <is>
          <t>Pellegrino M.</t>
        </is>
      </c>
      <c r="B468" s="2" t="inlineStr">
        <is>
          <t>Fiorentina</t>
        </is>
      </c>
      <c r="C468" s="2" t="inlineStr">
        <is>
          <t>A</t>
        </is>
      </c>
      <c r="D468" s="2" t="inlineStr">
        <is>
          <t>Pc</t>
        </is>
      </c>
      <c r="E468" s="2" t="n">
        <v>14</v>
      </c>
      <c r="F468" s="2" t="n">
        <v>8.5</v>
      </c>
      <c r="G468" s="2" t="n">
        <v>21.1</v>
      </c>
      <c r="H468" s="8" t="inlineStr">
        <is>
          <t>🟡 Ballottaggio</t>
        </is>
      </c>
      <c r="I468" s="2">
        <f>MAX(1,TRUNC(L468*(Impostazioni!$B$2/500)*1*M468*INDEX(Impostazioni!$E$23:$E$29,MATCH(H468,Impostazioni!$D$23:$D$29,0))))</f>
        <v/>
      </c>
      <c r="J468" s="9">
        <f>MAX(1,TRUNC(L468*(Impostazioni!$B$2/500)*INDEX(Motore!$A$5:$H$8,MATCH(C468,Motore!$A$5:$A$8,0),8)*M468*INDEX(Impostazioni!$E$23:$E$29,MATCH(H468,Impostazioni!$D$23:$D$29,0))))</f>
        <v/>
      </c>
      <c r="K468" s="2" t="inlineStr">
        <is>
          <t>🌟 Nuovo Arrivo TOP</t>
        </is>
      </c>
      <c r="L468" s="2" t="n">
        <v>33.6</v>
      </c>
      <c r="M468" s="2" t="n">
        <v>1</v>
      </c>
    </row>
    <row r="469">
      <c r="A469" s="2" t="inlineStr">
        <is>
          <t>Raspadori</t>
        </is>
      </c>
      <c r="B469" s="2" t="inlineStr">
        <is>
          <t>Atalanta</t>
        </is>
      </c>
      <c r="C469" s="2" t="inlineStr">
        <is>
          <t>A</t>
        </is>
      </c>
      <c r="D469" s="2" t="inlineStr">
        <is>
          <t>A</t>
        </is>
      </c>
      <c r="E469" s="2" t="n">
        <v>14</v>
      </c>
      <c r="F469" s="2" t="n">
        <v>13.5</v>
      </c>
      <c r="G469" s="2" t="n">
        <v>19.75</v>
      </c>
      <c r="H469" s="8" t="inlineStr">
        <is>
          <t>🟡 Ballottaggio</t>
        </is>
      </c>
      <c r="I469" s="2">
        <f>MAX(1,TRUNC(L469*(Impostazioni!$B$2/500)*1*M469*INDEX(Impostazioni!$E$23:$E$29,MATCH(H469,Impostazioni!$D$23:$D$29,0))))</f>
        <v/>
      </c>
      <c r="J469" s="9">
        <f>MAX(1,TRUNC(L469*(Impostazioni!$B$2/500)*INDEX(Motore!$A$5:$H$8,MATCH(C469,Motore!$A$5:$A$8,0),8)*M469*INDEX(Impostazioni!$E$23:$E$29,MATCH(H469,Impostazioni!$D$23:$D$29,0))))</f>
        <v/>
      </c>
      <c r="K469" s="2" t="inlineStr">
        <is>
          <t>🌟 Nuovo Arrivo TOP</t>
        </is>
      </c>
      <c r="L469" s="2" t="n">
        <v>33.6</v>
      </c>
      <c r="M469" s="2" t="n">
        <v>1</v>
      </c>
    </row>
    <row r="470">
      <c r="A470" s="2" t="inlineStr">
        <is>
          <t>Santos A.</t>
        </is>
      </c>
      <c r="B470" s="2" t="inlineStr">
        <is>
          <t>Napoli</t>
        </is>
      </c>
      <c r="C470" s="2" t="inlineStr">
        <is>
          <t>A</t>
        </is>
      </c>
      <c r="D470" s="2" t="inlineStr">
        <is>
          <t>W/A</t>
        </is>
      </c>
      <c r="E470" s="2" t="n">
        <v>14</v>
      </c>
      <c r="F470" s="2" t="n">
        <v>25.05</v>
      </c>
      <c r="G470" s="2" t="n">
        <v>27.4</v>
      </c>
      <c r="H470" s="8" t="inlineStr">
        <is>
          <t>🟡 Ballottaggio</t>
        </is>
      </c>
      <c r="I470" s="2">
        <f>MAX(1,TRUNC(L470*(Impostazioni!$B$2/500)*1*M470*INDEX(Impostazioni!$E$23:$E$29,MATCH(H470,Impostazioni!$D$23:$D$29,0))))</f>
        <v/>
      </c>
      <c r="J470" s="9">
        <f>MAX(1,TRUNC(L470*(Impostazioni!$B$2/500)*INDEX(Motore!$A$5:$H$8,MATCH(C470,Motore!$A$5:$A$8,0),8)*M470*INDEX(Impostazioni!$E$23:$E$29,MATCH(H470,Impostazioni!$D$23:$D$29,0))))</f>
        <v/>
      </c>
      <c r="K470" s="2" t="inlineStr">
        <is>
          <t>🌟 Nuovo Arrivo TOP</t>
        </is>
      </c>
      <c r="L470" s="2" t="n">
        <v>33.6</v>
      </c>
      <c r="M470" s="2" t="n">
        <v>1</v>
      </c>
    </row>
    <row r="471">
      <c r="A471" s="2" t="inlineStr">
        <is>
          <t>Simeone</t>
        </is>
      </c>
      <c r="B471" s="2" t="inlineStr">
        <is>
          <t>Torino</t>
        </is>
      </c>
      <c r="C471" s="2" t="inlineStr">
        <is>
          <t>A</t>
        </is>
      </c>
      <c r="D471" s="2" t="inlineStr">
        <is>
          <t>Pc</t>
        </is>
      </c>
      <c r="E471" s="2" t="n">
        <v>14</v>
      </c>
      <c r="F471" s="2" t="n">
        <v>19.05</v>
      </c>
      <c r="G471" s="2" t="n">
        <v>54.95</v>
      </c>
      <c r="H471" s="8" t="inlineStr">
        <is>
          <t>Normale</t>
        </is>
      </c>
      <c r="I471" s="2">
        <f>MAX(1,TRUNC(L471*(Impostazioni!$B$2/500)*1*M471*INDEX(Impostazioni!$E$23:$E$29,MATCH(H471,Impostazioni!$D$23:$D$29,0))))</f>
        <v/>
      </c>
      <c r="J471" s="9">
        <f>MAX(1,TRUNC(L471*(Impostazioni!$B$2/500)*INDEX(Motore!$A$5:$H$8,MATCH(C471,Motore!$A$5:$A$8,0),8)*M471*INDEX(Impostazioni!$E$23:$E$29,MATCH(H471,Impostazioni!$D$23:$D$29,0))))</f>
        <v/>
      </c>
      <c r="K471" s="2" t="inlineStr">
        <is>
          <t>🌟 Nuovo Arrivo TOP</t>
        </is>
      </c>
      <c r="L471" s="2" t="n">
        <v>33.6</v>
      </c>
      <c r="M471" s="2" t="n">
        <v>1</v>
      </c>
    </row>
    <row r="472">
      <c r="A472" s="2" t="inlineStr">
        <is>
          <t>Soulè</t>
        </is>
      </c>
      <c r="B472" s="2" t="inlineStr">
        <is>
          <t>Roma</t>
        </is>
      </c>
      <c r="C472" s="2" t="inlineStr">
        <is>
          <t>A</t>
        </is>
      </c>
      <c r="D472" s="2" t="inlineStr">
        <is>
          <t>A</t>
        </is>
      </c>
      <c r="E472" s="2" t="n">
        <v>13</v>
      </c>
      <c r="F472" s="2" t="n">
        <v>13.75</v>
      </c>
      <c r="G472" s="2" t="n">
        <v>10.15</v>
      </c>
      <c r="H472" s="8" t="inlineStr">
        <is>
          <t>Normale</t>
        </is>
      </c>
      <c r="I472" s="2">
        <f>MAX(1,TRUNC(L472*(Impostazioni!$B$2/500)*1*M472*INDEX(Impostazioni!$E$23:$E$29,MATCH(H472,Impostazioni!$D$23:$D$29,0))))</f>
        <v/>
      </c>
      <c r="J472" s="9">
        <f>MAX(1,TRUNC(L472*(Impostazioni!$B$2/500)*INDEX(Motore!$A$5:$H$8,MATCH(C472,Motore!$A$5:$A$8,0),8)*M472*INDEX(Impostazioni!$E$23:$E$29,MATCH(H472,Impostazioni!$D$23:$D$29,0))))</f>
        <v/>
      </c>
      <c r="K472" s="2" t="inlineStr">
        <is>
          <t>🌟 Nuovo Arrivo TOP</t>
        </is>
      </c>
      <c r="L472" s="2" t="n">
        <v>31.2</v>
      </c>
      <c r="M472" s="2" t="n">
        <v>1</v>
      </c>
    </row>
    <row r="473">
      <c r="A473" s="2" t="inlineStr">
        <is>
          <t>Diao</t>
        </is>
      </c>
      <c r="B473" s="2" t="inlineStr">
        <is>
          <t>Como</t>
        </is>
      </c>
      <c r="C473" s="2" t="inlineStr">
        <is>
          <t>A</t>
        </is>
      </c>
      <c r="D473" s="2" t="inlineStr">
        <is>
          <t>W/A</t>
        </is>
      </c>
      <c r="E473" s="2" t="n">
        <v>12</v>
      </c>
      <c r="F473" s="2" t="n">
        <v>27.8</v>
      </c>
      <c r="G473" s="2" t="n">
        <v>12.2</v>
      </c>
      <c r="H473" s="8" t="inlineStr">
        <is>
          <t>Normale</t>
        </is>
      </c>
      <c r="I473" s="2">
        <f>MAX(1,TRUNC(L473*(Impostazioni!$B$2/500)*1*M473*INDEX(Impostazioni!$E$23:$E$29,MATCH(H473,Impostazioni!$D$23:$D$29,0))))</f>
        <v/>
      </c>
      <c r="J473" s="9">
        <f>MAX(1,TRUNC(L473*(Impostazioni!$B$2/500)*INDEX(Motore!$A$5:$H$8,MATCH(C473,Motore!$A$5:$A$8,0),8)*M473*INDEX(Impostazioni!$E$23:$E$29,MATCH(H473,Impostazioni!$D$23:$D$29,0))))</f>
        <v/>
      </c>
      <c r="K473" s="2" t="inlineStr">
        <is>
          <t>🌟 Nuovo Arrivo TOP</t>
        </is>
      </c>
      <c r="L473" s="2" t="n">
        <v>28.8</v>
      </c>
      <c r="M473" s="2" t="n">
        <v>1</v>
      </c>
    </row>
    <row r="474">
      <c r="A474" s="2" t="inlineStr">
        <is>
          <t>Esposito Se.</t>
        </is>
      </c>
      <c r="B474" s="2" t="inlineStr">
        <is>
          <t>Sassuolo</t>
        </is>
      </c>
      <c r="C474" s="2" t="inlineStr">
        <is>
          <t>A</t>
        </is>
      </c>
      <c r="D474" s="2" t="inlineStr">
        <is>
          <t>A</t>
        </is>
      </c>
      <c r="E474" s="2" t="n">
        <v>12</v>
      </c>
      <c r="F474" s="2" t="n">
        <v>7.85</v>
      </c>
      <c r="G474" s="2" t="n">
        <v>8.800000000000001</v>
      </c>
      <c r="H474" s="8" t="inlineStr">
        <is>
          <t>🟡 Ballottaggio</t>
        </is>
      </c>
      <c r="I474" s="2">
        <f>MAX(1,TRUNC(L474*(Impostazioni!$B$2/500)*1*M474*INDEX(Impostazioni!$E$23:$E$29,MATCH(H474,Impostazioni!$D$23:$D$29,0))))</f>
        <v/>
      </c>
      <c r="J474" s="9">
        <f>MAX(1,TRUNC(L474*(Impostazioni!$B$2/500)*INDEX(Motore!$A$5:$H$8,MATCH(C474,Motore!$A$5:$A$8,0),8)*M474*INDEX(Impostazioni!$E$23:$E$29,MATCH(H474,Impostazioni!$D$23:$D$29,0))))</f>
        <v/>
      </c>
      <c r="K474" s="2" t="inlineStr">
        <is>
          <t>🌟 Nuovo Arrivo TOP</t>
        </is>
      </c>
      <c r="L474" s="2" t="n">
        <v>28.8</v>
      </c>
      <c r="M474" s="2" t="n">
        <v>1</v>
      </c>
    </row>
    <row r="475">
      <c r="A475" s="2" t="inlineStr">
        <is>
          <t>Kevin Carlos</t>
        </is>
      </c>
      <c r="B475" s="2" t="inlineStr">
        <is>
          <t>Cagliari</t>
        </is>
      </c>
      <c r="C475" s="2" t="inlineStr">
        <is>
          <t>A</t>
        </is>
      </c>
      <c r="D475" s="2" t="inlineStr">
        <is>
          <t>Pc</t>
        </is>
      </c>
      <c r="E475" s="2" t="n">
        <v>12</v>
      </c>
      <c r="F475" s="2" t="n">
        <v>1.3</v>
      </c>
      <c r="G475" s="2" t="n">
        <v>0.5</v>
      </c>
      <c r="H475" s="8" t="inlineStr">
        <is>
          <t>Normale</t>
        </is>
      </c>
      <c r="I475" s="2">
        <f>MAX(1,TRUNC(L475*(Impostazioni!$B$2/500)*1*M475*INDEX(Impostazioni!$E$23:$E$29,MATCH(H475,Impostazioni!$D$23:$D$29,0))))</f>
        <v/>
      </c>
      <c r="J475" s="9">
        <f>MAX(1,TRUNC(L475*(Impostazioni!$B$2/500)*INDEX(Motore!$A$5:$H$8,MATCH(C475,Motore!$A$5:$A$8,0),8)*M475*INDEX(Impostazioni!$E$23:$E$29,MATCH(H475,Impostazioni!$D$23:$D$29,0))))</f>
        <v/>
      </c>
      <c r="K475" s="2" t="inlineStr">
        <is>
          <t>🌟 Nuovo Arrivo TOP</t>
        </is>
      </c>
      <c r="L475" s="2" t="n">
        <v>28.8</v>
      </c>
      <c r="M475" s="2" t="n">
        <v>1</v>
      </c>
    </row>
    <row r="476">
      <c r="A476" s="2" t="inlineStr">
        <is>
          <t>Pinamonti</t>
        </is>
      </c>
      <c r="B476" s="2" t="inlineStr">
        <is>
          <t>Lazio</t>
        </is>
      </c>
      <c r="C476" s="2" t="inlineStr">
        <is>
          <t>A</t>
        </is>
      </c>
      <c r="D476" s="2" t="inlineStr">
        <is>
          <t>Pc</t>
        </is>
      </c>
      <c r="E476" s="2" t="n">
        <v>12</v>
      </c>
      <c r="F476" s="2" t="n">
        <v>23.35</v>
      </c>
      <c r="G476" s="2" t="n">
        <v>41.55</v>
      </c>
      <c r="H476" s="8" t="inlineStr">
        <is>
          <t>🔴 Infortunato/Dubbio</t>
        </is>
      </c>
      <c r="I476" s="2">
        <f>MAX(1,TRUNC(L476*(Impostazioni!$B$2/500)*1*M476*INDEX(Impostazioni!$E$23:$E$29,MATCH(H476,Impostazioni!$D$23:$D$29,0))))</f>
        <v/>
      </c>
      <c r="J476" s="9">
        <f>MAX(1,TRUNC(L476*(Impostazioni!$B$2/500)*INDEX(Motore!$A$5:$H$8,MATCH(C476,Motore!$A$5:$A$8,0),8)*M476*INDEX(Impostazioni!$E$23:$E$29,MATCH(H476,Impostazioni!$D$23:$D$29,0))))</f>
        <v/>
      </c>
      <c r="K476" s="2" t="inlineStr">
        <is>
          <t>🌟 Nuovo Arrivo TOP</t>
        </is>
      </c>
      <c r="L476" s="2" t="n">
        <v>28.8</v>
      </c>
      <c r="M476" s="2" t="n">
        <v>1</v>
      </c>
    </row>
    <row r="477">
      <c r="A477" s="2" t="inlineStr">
        <is>
          <t>Adams A.</t>
        </is>
      </c>
      <c r="B477" s="2" t="inlineStr">
        <is>
          <t>Venezia</t>
        </is>
      </c>
      <c r="C477" s="2" t="inlineStr">
        <is>
          <t>A</t>
        </is>
      </c>
      <c r="D477" s="2" t="inlineStr">
        <is>
          <t>Pc</t>
        </is>
      </c>
      <c r="E477" s="2" t="n">
        <v>11</v>
      </c>
      <c r="F477" s="2" t="n">
        <v>2.65</v>
      </c>
      <c r="G477" s="2" t="n">
        <v>4.4</v>
      </c>
      <c r="H477" s="8" t="inlineStr">
        <is>
          <t>Normale</t>
        </is>
      </c>
      <c r="I477" s="2">
        <f>MAX(1,TRUNC(L477*(Impostazioni!$B$2/500)*1*M477*INDEX(Impostazioni!$E$23:$E$29,MATCH(H477,Impostazioni!$D$23:$D$29,0))))</f>
        <v/>
      </c>
      <c r="J477" s="9">
        <f>MAX(1,TRUNC(L477*(Impostazioni!$B$2/500)*INDEX(Motore!$A$5:$H$8,MATCH(C477,Motore!$A$5:$A$8,0),8)*M477*INDEX(Impostazioni!$E$23:$E$29,MATCH(H477,Impostazioni!$D$23:$D$29,0))))</f>
        <v/>
      </c>
      <c r="K477" s="2" t="inlineStr">
        <is>
          <t>🌟 Nuovo Arrivo TOP</t>
        </is>
      </c>
      <c r="L477" s="2" t="n">
        <v>26.4</v>
      </c>
      <c r="M477" s="2" t="n">
        <v>1</v>
      </c>
    </row>
    <row r="478">
      <c r="A478" s="2" t="inlineStr">
        <is>
          <t>Colombo</t>
        </is>
      </c>
      <c r="B478" s="2" t="inlineStr">
        <is>
          <t>Genoa</t>
        </is>
      </c>
      <c r="C478" s="2" t="inlineStr">
        <is>
          <t>A</t>
        </is>
      </c>
      <c r="D478" s="2" t="inlineStr">
        <is>
          <t>Pc</t>
        </is>
      </c>
      <c r="E478" s="2" t="n">
        <v>11</v>
      </c>
      <c r="F478" s="2" t="n">
        <v>6.15</v>
      </c>
      <c r="G478" s="2" t="n">
        <v>28.85</v>
      </c>
      <c r="H478" s="8" t="inlineStr">
        <is>
          <t>🎯 Rigorista designato</t>
        </is>
      </c>
      <c r="I478" s="2">
        <f>MAX(1,TRUNC(L478*(Impostazioni!$B$2/500)*1*M478*INDEX(Impostazioni!$E$23:$E$29,MATCH(H478,Impostazioni!$D$23:$D$29,0))))</f>
        <v/>
      </c>
      <c r="J478" s="9">
        <f>MAX(1,TRUNC(L478*(Impostazioni!$B$2/500)*INDEX(Motore!$A$5:$H$8,MATCH(C478,Motore!$A$5:$A$8,0),8)*M478*INDEX(Impostazioni!$E$23:$E$29,MATCH(H478,Impostazioni!$D$23:$D$29,0))))</f>
        <v/>
      </c>
      <c r="K478" s="2" t="inlineStr">
        <is>
          <t>🌟 Nuovo Arrivo TOP</t>
        </is>
      </c>
      <c r="L478" s="2" t="n">
        <v>26.4</v>
      </c>
      <c r="M478" s="2" t="n">
        <v>1</v>
      </c>
    </row>
    <row r="479">
      <c r="A479" s="2" t="inlineStr">
        <is>
          <t>Adams C.</t>
        </is>
      </c>
      <c r="B479" s="2" t="inlineStr">
        <is>
          <t>Torino</t>
        </is>
      </c>
      <c r="C479" s="2" t="inlineStr">
        <is>
          <t>A</t>
        </is>
      </c>
      <c r="D479" s="2" t="inlineStr">
        <is>
          <t>A</t>
        </is>
      </c>
      <c r="E479" s="2" t="n">
        <v>10</v>
      </c>
      <c r="F479" s="2" t="n">
        <v>2.85</v>
      </c>
      <c r="G479" s="2" t="n">
        <v>0.5</v>
      </c>
      <c r="H479" s="8" t="inlineStr">
        <is>
          <t>Normale</t>
        </is>
      </c>
      <c r="I479" s="2">
        <f>MAX(1,TRUNC(L479*(Impostazioni!$B$2/500)*1*M479*INDEX(Impostazioni!$E$23:$E$29,MATCH(H479,Impostazioni!$D$23:$D$29,0))))</f>
        <v/>
      </c>
      <c r="J479" s="9">
        <f>MAX(1,TRUNC(L479*(Impostazioni!$B$2/500)*INDEX(Motore!$A$5:$H$8,MATCH(C479,Motore!$A$5:$A$8,0),8)*M479*INDEX(Impostazioni!$E$23:$E$29,MATCH(H479,Impostazioni!$D$23:$D$29,0))))</f>
        <v/>
      </c>
      <c r="K479" s="2" t="inlineStr">
        <is>
          <t>🌟 Nuovo Arrivo TOP</t>
        </is>
      </c>
      <c r="L479" s="2" t="n">
        <v>24</v>
      </c>
      <c r="M479" s="2" t="n">
        <v>1</v>
      </c>
    </row>
    <row r="480">
      <c r="A480" s="2" t="inlineStr">
        <is>
          <t>Romero D.</t>
        </is>
      </c>
      <c r="B480" s="2" t="inlineStr">
        <is>
          <t>Parma</t>
        </is>
      </c>
      <c r="C480" s="2" t="inlineStr">
        <is>
          <t>A</t>
        </is>
      </c>
      <c r="D480" s="2" t="inlineStr">
        <is>
          <t>Pc</t>
        </is>
      </c>
      <c r="E480" s="2" t="n">
        <v>10</v>
      </c>
      <c r="F480" s="2" t="n">
        <v>2.25</v>
      </c>
      <c r="G480" s="2" t="n">
        <v>0.5</v>
      </c>
      <c r="H480" s="8" t="inlineStr">
        <is>
          <t>Normale</t>
        </is>
      </c>
      <c r="I480" s="2">
        <f>MAX(1,TRUNC(L480*(Impostazioni!$B$2/500)*1*M480*INDEX(Impostazioni!$E$23:$E$29,MATCH(H480,Impostazioni!$D$23:$D$29,0))))</f>
        <v/>
      </c>
      <c r="J480" s="9">
        <f>MAX(1,TRUNC(L480*(Impostazioni!$B$2/500)*INDEX(Motore!$A$5:$H$8,MATCH(C480,Motore!$A$5:$A$8,0),8)*M480*INDEX(Impostazioni!$E$23:$E$29,MATCH(H480,Impostazioni!$D$23:$D$29,0))))</f>
        <v/>
      </c>
      <c r="K480" s="2" t="inlineStr">
        <is>
          <t>🌟 Nuovo Arrivo TOP</t>
        </is>
      </c>
      <c r="L480" s="2" t="n">
        <v>24</v>
      </c>
      <c r="M480" s="2" t="n">
        <v>1</v>
      </c>
    </row>
    <row r="481">
      <c r="A481" s="2" t="inlineStr">
        <is>
          <t>Tourè E.</t>
        </is>
      </c>
      <c r="B481" s="2" t="inlineStr">
        <is>
          <t>Parma</t>
        </is>
      </c>
      <c r="C481" s="2" t="inlineStr">
        <is>
          <t>A</t>
        </is>
      </c>
      <c r="D481" s="2" t="inlineStr">
        <is>
          <t>Pc</t>
        </is>
      </c>
      <c r="E481" s="2" t="n">
        <v>10</v>
      </c>
      <c r="F481" s="2" t="n">
        <v>1.95</v>
      </c>
      <c r="G481" s="2" t="n">
        <v>3.55</v>
      </c>
      <c r="H481" s="8" t="inlineStr">
        <is>
          <t>🎯 Rigorista designato</t>
        </is>
      </c>
      <c r="I481" s="2">
        <f>MAX(1,TRUNC(L481*(Impostazioni!$B$2/500)*1*M481*INDEX(Impostazioni!$E$23:$E$29,MATCH(H481,Impostazioni!$D$23:$D$29,0))))</f>
        <v/>
      </c>
      <c r="J481" s="9">
        <f>MAX(1,TRUNC(L481*(Impostazioni!$B$2/500)*INDEX(Motore!$A$5:$H$8,MATCH(C481,Motore!$A$5:$A$8,0),8)*M481*INDEX(Impostazioni!$E$23:$E$29,MATCH(H481,Impostazioni!$D$23:$D$29,0))))</f>
        <v/>
      </c>
      <c r="K481" s="2" t="inlineStr">
        <is>
          <t>🌟 Nuovo Arrivo TOP</t>
        </is>
      </c>
      <c r="L481" s="2" t="n">
        <v>24</v>
      </c>
      <c r="M481" s="2" t="n">
        <v>1</v>
      </c>
    </row>
    <row r="482">
      <c r="A482" s="2" t="inlineStr">
        <is>
          <t>Bobcek</t>
        </is>
      </c>
      <c r="B482" s="2" t="inlineStr">
        <is>
          <t>Frosinone</t>
        </is>
      </c>
      <c r="C482" s="2" t="inlineStr">
        <is>
          <t>A</t>
        </is>
      </c>
      <c r="D482" s="2" t="inlineStr">
        <is>
          <t>Pc</t>
        </is>
      </c>
      <c r="E482" s="2" t="n">
        <v>9</v>
      </c>
      <c r="F482" s="2" t="n">
        <v>1.05</v>
      </c>
      <c r="G482" s="2" t="n">
        <v>0.5</v>
      </c>
      <c r="H482" s="8" t="inlineStr">
        <is>
          <t>🟡 Ballottaggio</t>
        </is>
      </c>
      <c r="I482" s="2">
        <f>MAX(1,TRUNC(L482*(Impostazioni!$B$2/500)*1*M482*INDEX(Impostazioni!$E$23:$E$29,MATCH(H482,Impostazioni!$D$23:$D$29,0))))</f>
        <v/>
      </c>
      <c r="J482" s="9">
        <f>MAX(1,TRUNC(L482*(Impostazioni!$B$2/500)*INDEX(Motore!$A$5:$H$8,MATCH(C482,Motore!$A$5:$A$8,0),8)*M482*INDEX(Impostazioni!$E$23:$E$29,MATCH(H482,Impostazioni!$D$23:$D$29,0))))</f>
        <v/>
      </c>
      <c r="K482" s="2" t="inlineStr">
        <is>
          <t>🌟 Nuovo Arrivo TOP</t>
        </is>
      </c>
      <c r="L482" s="2" t="n">
        <v>21.6</v>
      </c>
      <c r="M482" s="2" t="n">
        <v>1</v>
      </c>
    </row>
    <row r="483">
      <c r="A483" s="2" t="inlineStr">
        <is>
          <t>Bowie</t>
        </is>
      </c>
      <c r="B483" s="2" t="inlineStr">
        <is>
          <t>Sassuolo</t>
        </is>
      </c>
      <c r="C483" s="2" t="inlineStr">
        <is>
          <t>A</t>
        </is>
      </c>
      <c r="D483" s="2" t="inlineStr">
        <is>
          <t>Pc</t>
        </is>
      </c>
      <c r="E483" s="2" t="n">
        <v>9</v>
      </c>
      <c r="F483" s="2" t="n">
        <v>1.8</v>
      </c>
      <c r="G483" s="2" t="n">
        <v>6.5</v>
      </c>
      <c r="H483" s="8" t="inlineStr">
        <is>
          <t>🟡 Ballottaggio</t>
        </is>
      </c>
      <c r="I483" s="2">
        <f>MAX(1,TRUNC(L483*(Impostazioni!$B$2/500)*1*M483*INDEX(Impostazioni!$E$23:$E$29,MATCH(H483,Impostazioni!$D$23:$D$29,0))))</f>
        <v/>
      </c>
      <c r="J483" s="9">
        <f>MAX(1,TRUNC(L483*(Impostazioni!$B$2/500)*INDEX(Motore!$A$5:$H$8,MATCH(C483,Motore!$A$5:$A$8,0),8)*M483*INDEX(Impostazioni!$E$23:$E$29,MATCH(H483,Impostazioni!$D$23:$D$29,0))))</f>
        <v/>
      </c>
      <c r="K483" s="2" t="inlineStr">
        <is>
          <t>🌟 Nuovo Arrivo TOP</t>
        </is>
      </c>
      <c r="L483" s="2" t="n">
        <v>21.6</v>
      </c>
      <c r="M483" s="2" t="n">
        <v>1</v>
      </c>
    </row>
    <row r="484">
      <c r="A484" s="2" t="inlineStr">
        <is>
          <t>Cutrone</t>
        </is>
      </c>
      <c r="B484" s="2" t="inlineStr">
        <is>
          <t>Monza</t>
        </is>
      </c>
      <c r="C484" s="2" t="inlineStr">
        <is>
          <t>A</t>
        </is>
      </c>
      <c r="D484" s="2" t="inlineStr">
        <is>
          <t>Pc</t>
        </is>
      </c>
      <c r="E484" s="2" t="n">
        <v>9</v>
      </c>
      <c r="F484" s="2" t="n">
        <v>1.1</v>
      </c>
      <c r="G484" s="2" t="n">
        <v>0.5</v>
      </c>
      <c r="H484" s="8" t="inlineStr">
        <is>
          <t>🟡 Ballottaggio</t>
        </is>
      </c>
      <c r="I484" s="2">
        <f>MAX(1,TRUNC(L484*(Impostazioni!$B$2/500)*1*M484*INDEX(Impostazioni!$E$23:$E$29,MATCH(H484,Impostazioni!$D$23:$D$29,0))))</f>
        <v/>
      </c>
      <c r="J484" s="9">
        <f>MAX(1,TRUNC(L484*(Impostazioni!$B$2/500)*INDEX(Motore!$A$5:$H$8,MATCH(C484,Motore!$A$5:$A$8,0),8)*M484*INDEX(Impostazioni!$E$23:$E$29,MATCH(H484,Impostazioni!$D$23:$D$29,0))))</f>
        <v/>
      </c>
      <c r="K484" s="2" t="inlineStr">
        <is>
          <t>🌟 Nuovo Arrivo TOP</t>
        </is>
      </c>
      <c r="L484" s="2" t="n">
        <v>21.6</v>
      </c>
      <c r="M484" s="2" t="n">
        <v>1</v>
      </c>
    </row>
    <row r="485">
      <c r="A485" s="2" t="inlineStr">
        <is>
          <t>Raimondo</t>
        </is>
      </c>
      <c r="B485" s="2" t="inlineStr">
        <is>
          <t>Frosinone</t>
        </is>
      </c>
      <c r="C485" s="2" t="inlineStr">
        <is>
          <t>A</t>
        </is>
      </c>
      <c r="D485" s="2" t="inlineStr">
        <is>
          <t>Pc</t>
        </is>
      </c>
      <c r="E485" s="2" t="n">
        <v>9</v>
      </c>
      <c r="F485" s="2" t="n">
        <v>3.15</v>
      </c>
      <c r="G485" s="2" t="n">
        <v>0.5</v>
      </c>
      <c r="H485" s="8" t="inlineStr">
        <is>
          <t>🟡 Ballottaggio</t>
        </is>
      </c>
      <c r="I485" s="2">
        <f>MAX(1,TRUNC(L485*(Impostazioni!$B$2/500)*1*M485*INDEX(Impostazioni!$E$23:$E$29,MATCH(H485,Impostazioni!$D$23:$D$29,0))))</f>
        <v/>
      </c>
      <c r="J485" s="9">
        <f>MAX(1,TRUNC(L485*(Impostazioni!$B$2/500)*INDEX(Motore!$A$5:$H$8,MATCH(C485,Motore!$A$5:$A$8,0),8)*M485*INDEX(Impostazioni!$E$23:$E$29,MATCH(H485,Impostazioni!$D$23:$D$29,0))))</f>
        <v/>
      </c>
      <c r="K485" s="2" t="inlineStr">
        <is>
          <t>🌟 Nuovo Arrivo TOP</t>
        </is>
      </c>
      <c r="L485" s="2" t="n">
        <v>21.6</v>
      </c>
      <c r="M485" s="2" t="n">
        <v>1</v>
      </c>
    </row>
    <row r="486">
      <c r="A486" s="2" t="inlineStr">
        <is>
          <t>Yeboah J.</t>
        </is>
      </c>
      <c r="B486" s="2" t="inlineStr">
        <is>
          <t>Venezia</t>
        </is>
      </c>
      <c r="C486" s="2" t="inlineStr">
        <is>
          <t>A</t>
        </is>
      </c>
      <c r="D486" s="2" t="inlineStr">
        <is>
          <t>A</t>
        </is>
      </c>
      <c r="E486" s="2" t="n">
        <v>9</v>
      </c>
      <c r="F486" s="2" t="n">
        <v>2.3</v>
      </c>
      <c r="G486" s="2" t="n">
        <v>5.05</v>
      </c>
      <c r="H486" s="8" t="inlineStr">
        <is>
          <t>Normale</t>
        </is>
      </c>
      <c r="I486" s="2">
        <f>MAX(1,TRUNC(L486*(Impostazioni!$B$2/500)*1*M486*INDEX(Impostazioni!$E$23:$E$29,MATCH(H486,Impostazioni!$D$23:$D$29,0))))</f>
        <v/>
      </c>
      <c r="J486" s="9">
        <f>MAX(1,TRUNC(L486*(Impostazioni!$B$2/500)*INDEX(Motore!$A$5:$H$8,MATCH(C486,Motore!$A$5:$A$8,0),8)*M486*INDEX(Impostazioni!$E$23:$E$29,MATCH(H486,Impostazioni!$D$23:$D$29,0))))</f>
        <v/>
      </c>
      <c r="K486" s="2" t="inlineStr">
        <is>
          <t>🌟 Nuovo Arrivo TOP</t>
        </is>
      </c>
      <c r="L486" s="2" t="n">
        <v>21.6</v>
      </c>
      <c r="M486" s="2" t="n">
        <v>1</v>
      </c>
    </row>
    <row r="487">
      <c r="A487" s="2" t="inlineStr">
        <is>
          <t>Geubbels</t>
        </is>
      </c>
      <c r="B487" s="2" t="inlineStr">
        <is>
          <t>Lecce</t>
        </is>
      </c>
      <c r="C487" s="2" t="inlineStr">
        <is>
          <t>A</t>
        </is>
      </c>
      <c r="D487" s="2" t="inlineStr">
        <is>
          <t>Pc</t>
        </is>
      </c>
      <c r="E487" s="2" t="n">
        <v>8</v>
      </c>
      <c r="F487" s="2" t="n">
        <v>1.3</v>
      </c>
      <c r="G487" s="2" t="n">
        <v>0.5</v>
      </c>
      <c r="H487" s="8" t="inlineStr">
        <is>
          <t>🔴 Infortunato/Dubbio</t>
        </is>
      </c>
      <c r="I487" s="2">
        <f>MAX(1,TRUNC(L487*(Impostazioni!$B$2/500)*1*M487*INDEX(Impostazioni!$E$23:$E$29,MATCH(H487,Impostazioni!$D$23:$D$29,0))))</f>
        <v/>
      </c>
      <c r="J487" s="9">
        <f>MAX(1,TRUNC(L487*(Impostazioni!$B$2/500)*INDEX(Motore!$A$5:$H$8,MATCH(C487,Motore!$A$5:$A$8,0),8)*M487*INDEX(Impostazioni!$E$23:$E$29,MATCH(H487,Impostazioni!$D$23:$D$29,0))))</f>
        <v/>
      </c>
      <c r="K487" s="2" t="inlineStr">
        <is>
          <t>🌟 Nuovo Arrivo TOP</t>
        </is>
      </c>
      <c r="L487" s="2" t="n">
        <v>19.2</v>
      </c>
      <c r="M487" s="2" t="n">
        <v>1</v>
      </c>
    </row>
    <row r="488">
      <c r="A488" s="2" t="inlineStr">
        <is>
          <t>Ghedjemis</t>
        </is>
      </c>
      <c r="B488" s="2" t="inlineStr">
        <is>
          <t>Frosinone</t>
        </is>
      </c>
      <c r="C488" s="2" t="inlineStr">
        <is>
          <t>A</t>
        </is>
      </c>
      <c r="D488" s="2" t="inlineStr">
        <is>
          <t>W/A</t>
        </is>
      </c>
      <c r="E488" s="2" t="n">
        <v>8</v>
      </c>
      <c r="F488" s="2" t="n">
        <v>1.6</v>
      </c>
      <c r="G488" s="2" t="n">
        <v>0.5</v>
      </c>
      <c r="H488" s="8" t="inlineStr">
        <is>
          <t>🪑 Riserva Fissa (da fasciaFc)</t>
        </is>
      </c>
      <c r="I488" s="2">
        <f>MAX(1,TRUNC(L488*(Impostazioni!$B$2/500)*1*M488*INDEX(Impostazioni!$E$23:$E$29,MATCH(H488,Impostazioni!$D$23:$D$29,0))))</f>
        <v/>
      </c>
      <c r="J488" s="9">
        <f>MAX(1,TRUNC(L488*(Impostazioni!$B$2/500)*INDEX(Motore!$A$5:$H$8,MATCH(C488,Motore!$A$5:$A$8,0),8)*M488*INDEX(Impostazioni!$E$23:$E$29,MATCH(H488,Impostazioni!$D$23:$D$29,0))))</f>
        <v/>
      </c>
      <c r="K488" s="2" t="inlineStr">
        <is>
          <t>🌟 Nuovo Arrivo TOP</t>
        </is>
      </c>
      <c r="L488" s="2" t="n">
        <v>19.2</v>
      </c>
      <c r="M488" s="2" t="n">
        <v>1</v>
      </c>
    </row>
    <row r="489">
      <c r="A489" s="2" t="inlineStr">
        <is>
          <t>Osmajic</t>
        </is>
      </c>
      <c r="B489" s="2" t="inlineStr">
        <is>
          <t>Genoa</t>
        </is>
      </c>
      <c r="C489" s="2" t="inlineStr">
        <is>
          <t>A</t>
        </is>
      </c>
      <c r="D489" s="2" t="inlineStr">
        <is>
          <t>Pc</t>
        </is>
      </c>
      <c r="E489" s="2" t="n">
        <v>8</v>
      </c>
      <c r="F489" s="2" t="n">
        <v>1.15</v>
      </c>
      <c r="G489" s="2" t="n">
        <v>0.5</v>
      </c>
      <c r="H489" s="8" t="inlineStr">
        <is>
          <t>Normale</t>
        </is>
      </c>
      <c r="I489" s="2">
        <f>MAX(1,TRUNC(L489*(Impostazioni!$B$2/500)*1*M489*INDEX(Impostazioni!$E$23:$E$29,MATCH(H489,Impostazioni!$D$23:$D$29,0))))</f>
        <v/>
      </c>
      <c r="J489" s="9">
        <f>MAX(1,TRUNC(L489*(Impostazioni!$B$2/500)*INDEX(Motore!$A$5:$H$8,MATCH(C489,Motore!$A$5:$A$8,0),8)*M489*INDEX(Impostazioni!$E$23:$E$29,MATCH(H489,Impostazioni!$D$23:$D$29,0))))</f>
        <v/>
      </c>
      <c r="K489" s="2" t="inlineStr">
        <is>
          <t>🌟 Nuovo Arrivo TOP</t>
        </is>
      </c>
      <c r="L489" s="2" t="n">
        <v>19.2</v>
      </c>
      <c r="M489" s="2" t="n">
        <v>1</v>
      </c>
    </row>
    <row r="490">
      <c r="A490" s="2" t="inlineStr">
        <is>
          <t>Piccoli</t>
        </is>
      </c>
      <c r="B490" s="2" t="inlineStr">
        <is>
          <t>Bologna</t>
        </is>
      </c>
      <c r="C490" s="2" t="inlineStr">
        <is>
          <t>A</t>
        </is>
      </c>
      <c r="D490" s="2" t="inlineStr">
        <is>
          <t>Pc</t>
        </is>
      </c>
      <c r="E490" s="2" t="n">
        <v>8</v>
      </c>
      <c r="F490" s="2" t="n">
        <v>3.25</v>
      </c>
      <c r="G490" s="2" t="n">
        <v>10.3</v>
      </c>
      <c r="H490" s="8" t="inlineStr">
        <is>
          <t>🟡 Ballottaggio</t>
        </is>
      </c>
      <c r="I490" s="2">
        <f>MAX(1,TRUNC(L490*(Impostazioni!$B$2/500)*1*M490*INDEX(Impostazioni!$E$23:$E$29,MATCH(H490,Impostazioni!$D$23:$D$29,0))))</f>
        <v/>
      </c>
      <c r="J490" s="9">
        <f>MAX(1,TRUNC(L490*(Impostazioni!$B$2/500)*INDEX(Motore!$A$5:$H$8,MATCH(C490,Motore!$A$5:$A$8,0),8)*M490*INDEX(Impostazioni!$E$23:$E$29,MATCH(H490,Impostazioni!$D$23:$D$29,0))))</f>
        <v/>
      </c>
      <c r="K490" s="2" t="inlineStr">
        <is>
          <t>🌟 Nuovo Arrivo TOP</t>
        </is>
      </c>
      <c r="L490" s="2" t="n">
        <v>19.2</v>
      </c>
      <c r="M490" s="2" t="n">
        <v>1</v>
      </c>
    </row>
    <row r="491">
      <c r="A491" s="2" t="inlineStr">
        <is>
          <t>Vitinha O.</t>
        </is>
      </c>
      <c r="B491" s="2" t="inlineStr">
        <is>
          <t>Genoa</t>
        </is>
      </c>
      <c r="C491" s="2" t="inlineStr">
        <is>
          <t>A</t>
        </is>
      </c>
      <c r="D491" s="2" t="inlineStr">
        <is>
          <t>A</t>
        </is>
      </c>
      <c r="E491" s="2" t="n">
        <v>8</v>
      </c>
      <c r="F491" s="2" t="n">
        <v>1.55</v>
      </c>
      <c r="G491" s="2" t="n">
        <v>0.5</v>
      </c>
      <c r="H491" s="8" t="inlineStr">
        <is>
          <t>Normale</t>
        </is>
      </c>
      <c r="I491" s="2">
        <f>MAX(1,TRUNC(L491*(Impostazioni!$B$2/500)*1*M491*INDEX(Impostazioni!$E$23:$E$29,MATCH(H491,Impostazioni!$D$23:$D$29,0))))</f>
        <v/>
      </c>
      <c r="J491" s="9">
        <f>MAX(1,TRUNC(L491*(Impostazioni!$B$2/500)*INDEX(Motore!$A$5:$H$8,MATCH(C491,Motore!$A$5:$A$8,0),8)*M491*INDEX(Impostazioni!$E$23:$E$29,MATCH(H491,Impostazioni!$D$23:$D$29,0))))</f>
        <v/>
      </c>
      <c r="K491" s="2" t="inlineStr">
        <is>
          <t>🌟 Nuovo Arrivo TOP</t>
        </is>
      </c>
      <c r="L491" s="2" t="n">
        <v>19.2</v>
      </c>
      <c r="M491" s="2" t="n">
        <v>1</v>
      </c>
    </row>
    <row r="492">
      <c r="A492" s="2" t="inlineStr">
        <is>
          <t>Boga</t>
        </is>
      </c>
      <c r="B492" s="2" t="inlineStr">
        <is>
          <t>Juventus</t>
        </is>
      </c>
      <c r="C492" s="2" t="inlineStr">
        <is>
          <t>A</t>
        </is>
      </c>
      <c r="D492" s="2" t="inlineStr">
        <is>
          <t>W/A</t>
        </is>
      </c>
      <c r="E492" s="2" t="n">
        <v>7</v>
      </c>
      <c r="F492" s="2" t="n">
        <v>3.95</v>
      </c>
      <c r="G492" s="2" t="n">
        <v>0.5</v>
      </c>
      <c r="H492" s="8" t="inlineStr">
        <is>
          <t>Normale</t>
        </is>
      </c>
      <c r="I492" s="2">
        <f>MAX(1,TRUNC(L492*(Impostazioni!$B$2/500)*1*M492*INDEX(Impostazioni!$E$23:$E$29,MATCH(H492,Impostazioni!$D$23:$D$29,0))))</f>
        <v/>
      </c>
      <c r="J492" s="9">
        <f>MAX(1,TRUNC(L492*(Impostazioni!$B$2/500)*INDEX(Motore!$A$5:$H$8,MATCH(C492,Motore!$A$5:$A$8,0),8)*M492*INDEX(Impostazioni!$E$23:$E$29,MATCH(H492,Impostazioni!$D$23:$D$29,0))))</f>
        <v/>
      </c>
      <c r="K492" s="2" t="inlineStr">
        <is>
          <t>Nuovo Arrivo (Rotazione)</t>
        </is>
      </c>
      <c r="L492" s="2" t="n">
        <v>9.449999999999999</v>
      </c>
      <c r="M492" s="2" t="n">
        <v>1</v>
      </c>
    </row>
    <row r="493">
      <c r="A493" s="2" t="inlineStr">
        <is>
          <t>Bonny</t>
        </is>
      </c>
      <c r="B493" s="2" t="inlineStr">
        <is>
          <t>Inter</t>
        </is>
      </c>
      <c r="C493" s="2" t="inlineStr">
        <is>
          <t>A</t>
        </is>
      </c>
      <c r="D493" s="2" t="inlineStr">
        <is>
          <t>Pc</t>
        </is>
      </c>
      <c r="E493" s="2" t="n">
        <v>7</v>
      </c>
      <c r="F493" s="2" t="n">
        <v>3.05</v>
      </c>
      <c r="G493" s="2" t="n">
        <v>0.5</v>
      </c>
      <c r="H493" s="8" t="inlineStr">
        <is>
          <t>Normale</t>
        </is>
      </c>
      <c r="I493" s="2">
        <f>MAX(1,TRUNC(L493*(Impostazioni!$B$2/500)*1*M493*INDEX(Impostazioni!$E$23:$E$29,MATCH(H493,Impostazioni!$D$23:$D$29,0))))</f>
        <v/>
      </c>
      <c r="J493" s="9">
        <f>MAX(1,TRUNC(L493*(Impostazioni!$B$2/500)*INDEX(Motore!$A$5:$H$8,MATCH(C493,Motore!$A$5:$A$8,0),8)*M493*INDEX(Impostazioni!$E$23:$E$29,MATCH(H493,Impostazioni!$D$23:$D$29,0))))</f>
        <v/>
      </c>
      <c r="K493" s="2" t="inlineStr">
        <is>
          <t>Nuovo Arrivo (Rotazione)</t>
        </is>
      </c>
      <c r="L493" s="2" t="n">
        <v>9.449999999999999</v>
      </c>
      <c r="M493" s="2" t="n">
        <v>1</v>
      </c>
    </row>
    <row r="494">
      <c r="A494" s="2" t="inlineStr">
        <is>
          <t>Gnonto</t>
        </is>
      </c>
      <c r="B494" s="2" t="inlineStr">
        <is>
          <t>Fiorentina</t>
        </is>
      </c>
      <c r="C494" s="2" t="inlineStr">
        <is>
          <t>A</t>
        </is>
      </c>
      <c r="D494" s="2" t="inlineStr">
        <is>
          <t>W/A</t>
        </is>
      </c>
      <c r="E494" s="2" t="n">
        <v>7</v>
      </c>
      <c r="F494" s="2" t="n">
        <v>1.5</v>
      </c>
      <c r="G494" s="2" t="n">
        <v>0.5</v>
      </c>
      <c r="H494" s="8" t="inlineStr">
        <is>
          <t>Normale</t>
        </is>
      </c>
      <c r="I494" s="2">
        <f>MAX(1,TRUNC(L494*(Impostazioni!$B$2/500)*1*M494*INDEX(Impostazioni!$E$23:$E$29,MATCH(H494,Impostazioni!$D$23:$D$29,0))))</f>
        <v/>
      </c>
      <c r="J494" s="9">
        <f>MAX(1,TRUNC(L494*(Impostazioni!$B$2/500)*INDEX(Motore!$A$5:$H$8,MATCH(C494,Motore!$A$5:$A$8,0),8)*M494*INDEX(Impostazioni!$E$23:$E$29,MATCH(H494,Impostazioni!$D$23:$D$29,0))))</f>
        <v/>
      </c>
      <c r="K494" s="2" t="inlineStr">
        <is>
          <t>Nuovo Arrivo (Rotazione)</t>
        </is>
      </c>
      <c r="L494" s="2" t="n">
        <v>9.449999999999999</v>
      </c>
      <c r="M494" s="2" t="n">
        <v>1</v>
      </c>
    </row>
    <row r="495">
      <c r="A495" s="2" t="inlineStr">
        <is>
          <t>Rrahmani Al.</t>
        </is>
      </c>
      <c r="B495" s="2" t="inlineStr">
        <is>
          <t>Venezia</t>
        </is>
      </c>
      <c r="C495" s="2" t="inlineStr">
        <is>
          <t>A</t>
        </is>
      </c>
      <c r="D495" s="2" t="inlineStr">
        <is>
          <t>Pc</t>
        </is>
      </c>
      <c r="E495" s="2" t="n">
        <v>7</v>
      </c>
      <c r="F495" s="2" t="n">
        <v>0.85</v>
      </c>
      <c r="G495" s="2" t="n">
        <v>0.5</v>
      </c>
      <c r="H495" s="8" t="inlineStr">
        <is>
          <t>Normale</t>
        </is>
      </c>
      <c r="I495" s="2">
        <f>MAX(1,TRUNC(L495*(Impostazioni!$B$2/500)*1*M495*INDEX(Impostazioni!$E$23:$E$29,MATCH(H495,Impostazioni!$D$23:$D$29,0))))</f>
        <v/>
      </c>
      <c r="J495" s="9">
        <f>MAX(1,TRUNC(L495*(Impostazioni!$B$2/500)*INDEX(Motore!$A$5:$H$8,MATCH(C495,Motore!$A$5:$A$8,0),8)*M495*INDEX(Impostazioni!$E$23:$E$29,MATCH(H495,Impostazioni!$D$23:$D$29,0))))</f>
        <v/>
      </c>
      <c r="K495" s="2" t="inlineStr">
        <is>
          <t>Nuovo Arrivo (Rotazione)</t>
        </is>
      </c>
      <c r="L495" s="2" t="n">
        <v>9.449999999999999</v>
      </c>
      <c r="M495" s="2" t="n">
        <v>1</v>
      </c>
    </row>
    <row r="496">
      <c r="A496" s="2" t="inlineStr">
        <is>
          <t>Varela G.</t>
        </is>
      </c>
      <c r="B496" s="2" t="inlineStr">
        <is>
          <t>Monza</t>
        </is>
      </c>
      <c r="C496" s="2" t="inlineStr">
        <is>
          <t>A</t>
        </is>
      </c>
      <c r="D496" s="2" t="inlineStr">
        <is>
          <t>Pc</t>
        </is>
      </c>
      <c r="E496" s="2" t="n">
        <v>7</v>
      </c>
      <c r="F496" s="2" t="n">
        <v>3.45</v>
      </c>
      <c r="G496" s="2" t="n">
        <v>0.5</v>
      </c>
      <c r="H496" s="8" t="inlineStr">
        <is>
          <t>🔴 Infortunato/Dubbio</t>
        </is>
      </c>
      <c r="I496" s="2">
        <f>MAX(1,TRUNC(L496*(Impostazioni!$B$2/500)*1*M496*INDEX(Impostazioni!$E$23:$E$29,MATCH(H496,Impostazioni!$D$23:$D$29,0))))</f>
        <v/>
      </c>
      <c r="J496" s="9">
        <f>MAX(1,TRUNC(L496*(Impostazioni!$B$2/500)*INDEX(Motore!$A$5:$H$8,MATCH(C496,Motore!$A$5:$A$8,0),8)*M496*INDEX(Impostazioni!$E$23:$E$29,MATCH(H496,Impostazioni!$D$23:$D$29,0))))</f>
        <v/>
      </c>
      <c r="K496" s="2" t="inlineStr">
        <is>
          <t>Nuovo Arrivo (Rotazione)</t>
        </is>
      </c>
      <c r="L496" s="2" t="n">
        <v>9.449999999999999</v>
      </c>
      <c r="M496" s="2" t="n">
        <v>1</v>
      </c>
    </row>
    <row r="497">
      <c r="A497" s="2" t="inlineStr">
        <is>
          <t>Kvernadze</t>
        </is>
      </c>
      <c r="B497" s="2" t="inlineStr">
        <is>
          <t>Frosinone</t>
        </is>
      </c>
      <c r="C497" s="2" t="inlineStr">
        <is>
          <t>A</t>
        </is>
      </c>
      <c r="D497" s="2" t="inlineStr">
        <is>
          <t>W/A</t>
        </is>
      </c>
      <c r="E497" s="2" t="n">
        <v>6</v>
      </c>
      <c r="F497" s="2" t="n">
        <v>3.65</v>
      </c>
      <c r="G497" s="2" t="n">
        <v>0.5</v>
      </c>
      <c r="H497" s="8" t="inlineStr">
        <is>
          <t>Normale</t>
        </is>
      </c>
      <c r="I497" s="2">
        <f>MAX(1,TRUNC(L497*(Impostazioni!$B$2/500)*1*M497*INDEX(Impostazioni!$E$23:$E$29,MATCH(H497,Impostazioni!$D$23:$D$29,0))))</f>
        <v/>
      </c>
      <c r="J497" s="9">
        <f>MAX(1,TRUNC(L497*(Impostazioni!$B$2/500)*INDEX(Motore!$A$5:$H$8,MATCH(C497,Motore!$A$5:$A$8,0),8)*M497*INDEX(Impostazioni!$E$23:$E$29,MATCH(H497,Impostazioni!$D$23:$D$29,0))))</f>
        <v/>
      </c>
      <c r="K497" s="2" t="inlineStr">
        <is>
          <t>Nuovo Arrivo (Rotazione)</t>
        </is>
      </c>
      <c r="L497" s="2" t="n">
        <v>8.1</v>
      </c>
      <c r="M497" s="2" t="n">
        <v>1</v>
      </c>
    </row>
    <row r="498">
      <c r="A498" s="2" t="inlineStr">
        <is>
          <t>Neres</t>
        </is>
      </c>
      <c r="B498" s="2" t="inlineStr">
        <is>
          <t>Napoli</t>
        </is>
      </c>
      <c r="C498" s="2" t="inlineStr">
        <is>
          <t>A</t>
        </is>
      </c>
      <c r="D498" s="2" t="inlineStr">
        <is>
          <t>W/A</t>
        </is>
      </c>
      <c r="E498" s="2" t="n">
        <v>6</v>
      </c>
      <c r="F498" s="2" t="n">
        <v>3.9</v>
      </c>
      <c r="G498" s="2" t="n">
        <v>1.7</v>
      </c>
      <c r="H498" s="8" t="inlineStr">
        <is>
          <t>Normale</t>
        </is>
      </c>
      <c r="I498" s="2">
        <f>MAX(1,TRUNC(L498*(Impostazioni!$B$2/500)*1*M498*INDEX(Impostazioni!$E$23:$E$29,MATCH(H498,Impostazioni!$D$23:$D$29,0))))</f>
        <v/>
      </c>
      <c r="J498" s="9">
        <f>MAX(1,TRUNC(L498*(Impostazioni!$B$2/500)*INDEX(Motore!$A$5:$H$8,MATCH(C498,Motore!$A$5:$A$8,0),8)*M498*INDEX(Impostazioni!$E$23:$E$29,MATCH(H498,Impostazioni!$D$23:$D$29,0))))</f>
        <v/>
      </c>
      <c r="K498" s="2" t="inlineStr">
        <is>
          <t>Nuovo Arrivo (Rotazione)</t>
        </is>
      </c>
      <c r="L498" s="2" t="n">
        <v>8.1</v>
      </c>
      <c r="M498" s="2" t="n">
        <v>1</v>
      </c>
    </row>
    <row r="499">
      <c r="A499" s="2" t="inlineStr">
        <is>
          <t>Noslin</t>
        </is>
      </c>
      <c r="B499" s="2" t="inlineStr">
        <is>
          <t>Lazio</t>
        </is>
      </c>
      <c r="C499" s="2" t="inlineStr">
        <is>
          <t>A</t>
        </is>
      </c>
      <c r="D499" s="2" t="inlineStr">
        <is>
          <t>A</t>
        </is>
      </c>
      <c r="E499" s="2" t="n">
        <v>6</v>
      </c>
      <c r="F499" s="2" t="n">
        <v>1.05</v>
      </c>
      <c r="G499" s="2" t="n">
        <v>0.5</v>
      </c>
      <c r="H499" s="8" t="inlineStr">
        <is>
          <t>Normale</t>
        </is>
      </c>
      <c r="I499" s="2">
        <f>MAX(1,TRUNC(L499*(Impostazioni!$B$2/500)*1*M499*INDEX(Impostazioni!$E$23:$E$29,MATCH(H499,Impostazioni!$D$23:$D$29,0))))</f>
        <v/>
      </c>
      <c r="J499" s="9">
        <f>MAX(1,TRUNC(L499*(Impostazioni!$B$2/500)*INDEX(Motore!$A$5:$H$8,MATCH(C499,Motore!$A$5:$A$8,0),8)*M499*INDEX(Impostazioni!$E$23:$E$29,MATCH(H499,Impostazioni!$D$23:$D$29,0))))</f>
        <v/>
      </c>
      <c r="K499" s="2" t="inlineStr">
        <is>
          <t>Nuovo Arrivo (Rotazione)</t>
        </is>
      </c>
      <c r="L499" s="2" t="n">
        <v>8.1</v>
      </c>
      <c r="M499" s="2" t="n">
        <v>1</v>
      </c>
    </row>
    <row r="500">
      <c r="A500" s="2" t="inlineStr">
        <is>
          <t>Stulic</t>
        </is>
      </c>
      <c r="B500" s="2" t="inlineStr">
        <is>
          <t>Lecce</t>
        </is>
      </c>
      <c r="C500" s="2" t="inlineStr">
        <is>
          <t>A</t>
        </is>
      </c>
      <c r="D500" s="2" t="inlineStr">
        <is>
          <t>Pc</t>
        </is>
      </c>
      <c r="E500" s="2" t="n">
        <v>6</v>
      </c>
      <c r="F500" s="2" t="n">
        <v>1</v>
      </c>
      <c r="G500" s="2" t="n">
        <v>0.5</v>
      </c>
      <c r="H500" s="8" t="inlineStr">
        <is>
          <t>🟡 Ballottaggio</t>
        </is>
      </c>
      <c r="I500" s="2">
        <f>MAX(1,TRUNC(L500*(Impostazioni!$B$2/500)*1*M500*INDEX(Impostazioni!$E$23:$E$29,MATCH(H500,Impostazioni!$D$23:$D$29,0))))</f>
        <v/>
      </c>
      <c r="J500" s="9">
        <f>MAX(1,TRUNC(L500*(Impostazioni!$B$2/500)*INDEX(Motore!$A$5:$H$8,MATCH(C500,Motore!$A$5:$A$8,0),8)*M500*INDEX(Impostazioni!$E$23:$E$29,MATCH(H500,Impostazioni!$D$23:$D$29,0))))</f>
        <v/>
      </c>
      <c r="K500" s="2" t="inlineStr">
        <is>
          <t>Nuovo Arrivo (Rotazione)</t>
        </is>
      </c>
      <c r="L500" s="2" t="n">
        <v>8.1</v>
      </c>
      <c r="M500" s="2" t="n">
        <v>1</v>
      </c>
    </row>
    <row r="501">
      <c r="A501" s="2" t="inlineStr">
        <is>
          <t>Sulemana K.</t>
        </is>
      </c>
      <c r="B501" s="2" t="inlineStr">
        <is>
          <t>Atalanta</t>
        </is>
      </c>
      <c r="C501" s="2" t="inlineStr">
        <is>
          <t>A</t>
        </is>
      </c>
      <c r="D501" s="2" t="inlineStr">
        <is>
          <t>A</t>
        </is>
      </c>
      <c r="E501" s="2" t="n">
        <v>6</v>
      </c>
      <c r="F501" s="2" t="n">
        <v>0.95</v>
      </c>
      <c r="G501" s="2" t="n">
        <v>0.5</v>
      </c>
      <c r="H501" s="8" t="inlineStr">
        <is>
          <t>🔴 Infortunato/Dubbio</t>
        </is>
      </c>
      <c r="I501" s="2">
        <f>MAX(1,TRUNC(L501*(Impostazioni!$B$2/500)*1*M501*INDEX(Impostazioni!$E$23:$E$29,MATCH(H501,Impostazioni!$D$23:$D$29,0))))</f>
        <v/>
      </c>
      <c r="J501" s="9">
        <f>MAX(1,TRUNC(L501*(Impostazioni!$B$2/500)*INDEX(Motore!$A$5:$H$8,MATCH(C501,Motore!$A$5:$A$8,0),8)*M501*INDEX(Impostazioni!$E$23:$E$29,MATCH(H501,Impostazioni!$D$23:$D$29,0))))</f>
        <v/>
      </c>
      <c r="K501" s="2" t="inlineStr">
        <is>
          <t>Nuovo Arrivo (Rotazione)</t>
        </is>
      </c>
      <c r="L501" s="2" t="n">
        <v>8.1</v>
      </c>
      <c r="M501" s="2" t="n">
        <v>1</v>
      </c>
    </row>
    <row r="502">
      <c r="A502" s="2" t="inlineStr">
        <is>
          <t>Zapata D.</t>
        </is>
      </c>
      <c r="B502" s="2" t="inlineStr">
        <is>
          <t>Torino</t>
        </is>
      </c>
      <c r="C502" s="2" t="inlineStr">
        <is>
          <t>A</t>
        </is>
      </c>
      <c r="D502" s="2" t="inlineStr">
        <is>
          <t>Pc</t>
        </is>
      </c>
      <c r="E502" s="2" t="n">
        <v>6</v>
      </c>
      <c r="F502" s="2" t="n">
        <v>1.15</v>
      </c>
      <c r="G502" s="2" t="n">
        <v>0.5</v>
      </c>
      <c r="H502" s="8" t="inlineStr">
        <is>
          <t>Normale</t>
        </is>
      </c>
      <c r="I502" s="2">
        <f>MAX(1,TRUNC(L502*(Impostazioni!$B$2/500)*1*M502*INDEX(Impostazioni!$E$23:$E$29,MATCH(H502,Impostazioni!$D$23:$D$29,0))))</f>
        <v/>
      </c>
      <c r="J502" s="9">
        <f>MAX(1,TRUNC(L502*(Impostazioni!$B$2/500)*INDEX(Motore!$A$5:$H$8,MATCH(C502,Motore!$A$5:$A$8,0),8)*M502*INDEX(Impostazioni!$E$23:$E$29,MATCH(H502,Impostazioni!$D$23:$D$29,0))))</f>
        <v/>
      </c>
      <c r="K502" s="2" t="inlineStr">
        <is>
          <t>Nuovo Arrivo (Rotazione)</t>
        </is>
      </c>
      <c r="L502" s="2" t="n">
        <v>8.1</v>
      </c>
      <c r="M502" s="2" t="n">
        <v>1</v>
      </c>
    </row>
    <row r="503">
      <c r="A503" s="2" t="inlineStr">
        <is>
          <t>Zeballos</t>
        </is>
      </c>
      <c r="B503" s="2" t="inlineStr">
        <is>
          <t>Monza</t>
        </is>
      </c>
      <c r="C503" s="2" t="inlineStr">
        <is>
          <t>A</t>
        </is>
      </c>
      <c r="D503" s="2" t="inlineStr">
        <is>
          <t>A</t>
        </is>
      </c>
      <c r="E503" s="2" t="n">
        <v>6</v>
      </c>
      <c r="F503" s="2" t="n">
        <v>1.3</v>
      </c>
      <c r="G503" s="2" t="n">
        <v>0.5</v>
      </c>
      <c r="H503" s="8" t="inlineStr">
        <is>
          <t>🪑 Riserva Fissa (da fasciaFc)</t>
        </is>
      </c>
      <c r="I503" s="2">
        <f>MAX(1,TRUNC(L503*(Impostazioni!$B$2/500)*1*M503*INDEX(Impostazioni!$E$23:$E$29,MATCH(H503,Impostazioni!$D$23:$D$29,0))))</f>
        <v/>
      </c>
      <c r="J503" s="9">
        <f>MAX(1,TRUNC(L503*(Impostazioni!$B$2/500)*INDEX(Motore!$A$5:$H$8,MATCH(C503,Motore!$A$5:$A$8,0),8)*M503*INDEX(Impostazioni!$E$23:$E$29,MATCH(H503,Impostazioni!$D$23:$D$29,0))))</f>
        <v/>
      </c>
      <c r="K503" s="2" t="inlineStr">
        <is>
          <t>Nuovo Arrivo (Rotazione)</t>
        </is>
      </c>
      <c r="L503" s="2" t="n">
        <v>8.1</v>
      </c>
      <c r="M503" s="2" t="n">
        <v>1</v>
      </c>
    </row>
    <row r="504">
      <c r="A504" s="2" t="inlineStr">
        <is>
          <t>Birligea</t>
        </is>
      </c>
      <c r="B504" s="2" t="inlineStr">
        <is>
          <t>Frosinone</t>
        </is>
      </c>
      <c r="C504" s="2" t="inlineStr">
        <is>
          <t>A</t>
        </is>
      </c>
      <c r="D504" s="2" t="inlineStr">
        <is>
          <t>Pc</t>
        </is>
      </c>
      <c r="E504" s="2" t="n">
        <v>5</v>
      </c>
      <c r="F504" s="2" t="n">
        <v>0.95</v>
      </c>
      <c r="G504" s="2" t="n">
        <v>0.5</v>
      </c>
      <c r="H504" s="8" t="inlineStr">
        <is>
          <t>🪑 Riserva Fissa (da fasciaFc)</t>
        </is>
      </c>
      <c r="I504" s="2">
        <f>MAX(1,TRUNC(L504*(Impostazioni!$B$2/500)*1*M504*INDEX(Impostazioni!$E$23:$E$29,MATCH(H504,Impostazioni!$D$23:$D$29,0))))</f>
        <v/>
      </c>
      <c r="J504" s="9">
        <f>MAX(1,TRUNC(L504*(Impostazioni!$B$2/500)*INDEX(Motore!$A$5:$H$8,MATCH(C504,Motore!$A$5:$A$8,0),8)*M504*INDEX(Impostazioni!$E$23:$E$29,MATCH(H504,Impostazioni!$D$23:$D$29,0))))</f>
        <v/>
      </c>
      <c r="K504" s="2" t="inlineStr">
        <is>
          <t>Nuovo Arrivo (Rotazione)</t>
        </is>
      </c>
      <c r="L504" s="2" t="n">
        <v>6.75</v>
      </c>
      <c r="M504" s="2" t="n">
        <v>1</v>
      </c>
    </row>
    <row r="505">
      <c r="A505" s="2" t="inlineStr">
        <is>
          <t>Maldini</t>
        </is>
      </c>
      <c r="B505" s="2" t="inlineStr">
        <is>
          <t>Cagliari</t>
        </is>
      </c>
      <c r="C505" s="2" t="inlineStr">
        <is>
          <t>A</t>
        </is>
      </c>
      <c r="D505" s="2" t="inlineStr">
        <is>
          <t>T/A</t>
        </is>
      </c>
      <c r="E505" s="2" t="n">
        <v>5</v>
      </c>
      <c r="F505" s="2" t="n">
        <v>2.9</v>
      </c>
      <c r="G505" s="2" t="n">
        <v>0.5</v>
      </c>
      <c r="H505" s="8" t="inlineStr">
        <is>
          <t>Normale</t>
        </is>
      </c>
      <c r="I505" s="2">
        <f>MAX(1,TRUNC(L505*(Impostazioni!$B$2/500)*1*M505*INDEX(Impostazioni!$E$23:$E$29,MATCH(H505,Impostazioni!$D$23:$D$29,0))))</f>
        <v/>
      </c>
      <c r="J505" s="9">
        <f>MAX(1,TRUNC(L505*(Impostazioni!$B$2/500)*INDEX(Motore!$A$5:$H$8,MATCH(C505,Motore!$A$5:$A$8,0),8)*M505*INDEX(Impostazioni!$E$23:$E$29,MATCH(H505,Impostazioni!$D$23:$D$29,0))))</f>
        <v/>
      </c>
      <c r="K505" s="2" t="inlineStr">
        <is>
          <t>Nuovo Arrivo (Rotazione)</t>
        </is>
      </c>
      <c r="L505" s="2" t="n">
        <v>6.75</v>
      </c>
      <c r="M505" s="2" t="n">
        <v>1</v>
      </c>
    </row>
    <row r="506">
      <c r="A506" s="2" t="inlineStr">
        <is>
          <t>Ngonge</t>
        </is>
      </c>
      <c r="B506" s="2" t="inlineStr">
        <is>
          <t>Monza</t>
        </is>
      </c>
      <c r="C506" s="2" t="inlineStr">
        <is>
          <t>A</t>
        </is>
      </c>
      <c r="D506" s="2" t="inlineStr">
        <is>
          <t>A</t>
        </is>
      </c>
      <c r="E506" s="2" t="n">
        <v>5</v>
      </c>
      <c r="F506" s="2" t="n">
        <v>1.05</v>
      </c>
      <c r="G506" s="2" t="n">
        <v>0.5</v>
      </c>
      <c r="H506" s="8" t="inlineStr">
        <is>
          <t>🟡 Ballottaggio</t>
        </is>
      </c>
      <c r="I506" s="2">
        <f>MAX(1,TRUNC(L506*(Impostazioni!$B$2/500)*1*M506*INDEX(Impostazioni!$E$23:$E$29,MATCH(H506,Impostazioni!$D$23:$D$29,0))))</f>
        <v/>
      </c>
      <c r="J506" s="9">
        <f>MAX(1,TRUNC(L506*(Impostazioni!$B$2/500)*INDEX(Motore!$A$5:$H$8,MATCH(C506,Motore!$A$5:$A$8,0),8)*M506*INDEX(Impostazioni!$E$23:$E$29,MATCH(H506,Impostazioni!$D$23:$D$29,0))))</f>
        <v/>
      </c>
      <c r="K506" s="2" t="inlineStr">
        <is>
          <t>Nuovo Arrivo (Rotazione)</t>
        </is>
      </c>
      <c r="L506" s="2" t="n">
        <v>6.75</v>
      </c>
      <c r="M506" s="2" t="n">
        <v>1</v>
      </c>
    </row>
    <row r="507">
      <c r="A507" s="2" t="inlineStr">
        <is>
          <t>Adorante</t>
        </is>
      </c>
      <c r="B507" s="2" t="inlineStr">
        <is>
          <t>Venezia</t>
        </is>
      </c>
      <c r="C507" s="2" t="inlineStr">
        <is>
          <t>A</t>
        </is>
      </c>
      <c r="D507" s="2" t="inlineStr">
        <is>
          <t>Pc</t>
        </is>
      </c>
      <c r="E507" s="2" t="n">
        <v>4</v>
      </c>
      <c r="F507" s="2" t="n">
        <v>0.85</v>
      </c>
      <c r="G507" s="2" t="n">
        <v>0.5</v>
      </c>
      <c r="H507" s="8" t="inlineStr">
        <is>
          <t>🔴 Infortunato/Dubbio</t>
        </is>
      </c>
      <c r="I507" s="2">
        <f>MAX(1,TRUNC(L507*(Impostazioni!$B$2/500)*1*M507*INDEX(Impostazioni!$E$23:$E$29,MATCH(H507,Impostazioni!$D$23:$D$29,0))))</f>
        <v/>
      </c>
      <c r="J507" s="9">
        <f>MAX(1,TRUNC(L507*(Impostazioni!$B$2/500)*INDEX(Motore!$A$5:$H$8,MATCH(C507,Motore!$A$5:$A$8,0),8)*M507*INDEX(Impostazioni!$E$23:$E$29,MATCH(H507,Impostazioni!$D$23:$D$29,0))))</f>
        <v/>
      </c>
      <c r="K507" s="2" t="inlineStr">
        <is>
          <t>Scommessa / Sconosciuto</t>
        </is>
      </c>
      <c r="L507" s="2" t="n">
        <v>1</v>
      </c>
      <c r="M507" s="2" t="n">
        <v>1</v>
      </c>
    </row>
    <row r="508">
      <c r="A508" s="2" t="inlineStr">
        <is>
          <t>Camarda</t>
        </is>
      </c>
      <c r="B508" s="2" t="inlineStr">
        <is>
          <t>Milan</t>
        </is>
      </c>
      <c r="C508" s="2" t="inlineStr">
        <is>
          <t>A</t>
        </is>
      </c>
      <c r="D508" s="2" t="inlineStr">
        <is>
          <t>Pc</t>
        </is>
      </c>
      <c r="E508" s="2" t="n">
        <v>4</v>
      </c>
      <c r="F508" s="2" t="n">
        <v>1.15</v>
      </c>
      <c r="G508" s="2" t="n">
        <v>0.5</v>
      </c>
      <c r="H508" s="8" t="inlineStr">
        <is>
          <t>Normale</t>
        </is>
      </c>
      <c r="I508" s="2">
        <f>MAX(1,TRUNC(L508*(Impostazioni!$B$2/500)*1*M508*INDEX(Impostazioni!$E$23:$E$29,MATCH(H508,Impostazioni!$D$23:$D$29,0))))</f>
        <v/>
      </c>
      <c r="J508" s="9">
        <f>MAX(1,TRUNC(L508*(Impostazioni!$B$2/500)*INDEX(Motore!$A$5:$H$8,MATCH(C508,Motore!$A$5:$A$8,0),8)*M508*INDEX(Impostazioni!$E$23:$E$29,MATCH(H508,Impostazioni!$D$23:$D$29,0))))</f>
        <v/>
      </c>
      <c r="K508" s="2" t="inlineStr">
        <is>
          <t>Scommessa / Sconosciuto</t>
        </is>
      </c>
      <c r="L508" s="2" t="n">
        <v>1</v>
      </c>
      <c r="M508" s="2" t="n">
        <v>1</v>
      </c>
    </row>
    <row r="509">
      <c r="A509" s="2" t="inlineStr">
        <is>
          <t>Fatah</t>
        </is>
      </c>
      <c r="B509" s="2" t="inlineStr">
        <is>
          <t>Lecce</t>
        </is>
      </c>
      <c r="C509" s="2" t="inlineStr">
        <is>
          <t>A</t>
        </is>
      </c>
      <c r="D509" s="2" t="inlineStr">
        <is>
          <t>W/A</t>
        </is>
      </c>
      <c r="E509" s="2" t="n">
        <v>4</v>
      </c>
      <c r="F509" s="2" t="n">
        <v>1.15</v>
      </c>
      <c r="G509" s="2" t="n">
        <v>0.5</v>
      </c>
      <c r="H509" s="8" t="inlineStr">
        <is>
          <t>Normale</t>
        </is>
      </c>
      <c r="I509" s="2">
        <f>MAX(1,TRUNC(L509*(Impostazioni!$B$2/500)*1*M509*INDEX(Impostazioni!$E$23:$E$29,MATCH(H509,Impostazioni!$D$23:$D$29,0))))</f>
        <v/>
      </c>
      <c r="J509" s="9">
        <f>MAX(1,TRUNC(L509*(Impostazioni!$B$2/500)*INDEX(Motore!$A$5:$H$8,MATCH(C509,Motore!$A$5:$A$8,0),8)*M509*INDEX(Impostazioni!$E$23:$E$29,MATCH(H509,Impostazioni!$D$23:$D$29,0))))</f>
        <v/>
      </c>
      <c r="K509" s="2" t="inlineStr">
        <is>
          <t>Scommessa / Sconosciuto</t>
        </is>
      </c>
      <c r="L509" s="2" t="n">
        <v>1</v>
      </c>
      <c r="M509" s="2" t="n">
        <v>1</v>
      </c>
    </row>
    <row r="510">
      <c r="A510" s="2" t="inlineStr">
        <is>
          <t>Frigan</t>
        </is>
      </c>
      <c r="B510" s="2" t="inlineStr">
        <is>
          <t>Parma</t>
        </is>
      </c>
      <c r="C510" s="2" t="inlineStr">
        <is>
          <t>A</t>
        </is>
      </c>
      <c r="D510" s="2" t="inlineStr">
        <is>
          <t>A</t>
        </is>
      </c>
      <c r="E510" s="2" t="n">
        <v>4</v>
      </c>
      <c r="F510" s="2" t="n">
        <v>0.5</v>
      </c>
      <c r="G510" s="2" t="n">
        <v>0.5</v>
      </c>
      <c r="H510" s="8" t="inlineStr">
        <is>
          <t>🟡 Ballottaggio</t>
        </is>
      </c>
      <c r="I510" s="2">
        <f>MAX(1,TRUNC(L510*(Impostazioni!$B$2/500)*1*M510*INDEX(Impostazioni!$E$23:$E$29,MATCH(H510,Impostazioni!$D$23:$D$29,0))))</f>
        <v/>
      </c>
      <c r="J510" s="9">
        <f>MAX(1,TRUNC(L510*(Impostazioni!$B$2/500)*INDEX(Motore!$A$5:$H$8,MATCH(C510,Motore!$A$5:$A$8,0),8)*M510*INDEX(Impostazioni!$E$23:$E$29,MATCH(H510,Impostazioni!$D$23:$D$29,0))))</f>
        <v/>
      </c>
      <c r="K510" s="2" t="inlineStr">
        <is>
          <t>Scommessa / Sconosciuto</t>
        </is>
      </c>
      <c r="L510" s="2" t="n">
        <v>1</v>
      </c>
      <c r="M510" s="2" t="n">
        <v>1</v>
      </c>
    </row>
    <row r="511">
      <c r="A511" s="2" t="inlineStr">
        <is>
          <t>Giovane</t>
        </is>
      </c>
      <c r="B511" s="2" t="inlineStr">
        <is>
          <t>Napoli</t>
        </is>
      </c>
      <c r="C511" s="2" t="inlineStr">
        <is>
          <t>A</t>
        </is>
      </c>
      <c r="D511" s="2" t="inlineStr">
        <is>
          <t>A</t>
        </is>
      </c>
      <c r="E511" s="2" t="n">
        <v>4</v>
      </c>
      <c r="F511" s="2" t="n">
        <v>0.85</v>
      </c>
      <c r="G511" s="2" t="n">
        <v>0.5</v>
      </c>
      <c r="H511" s="8" t="inlineStr">
        <is>
          <t>🪑 Riserva Fissa (da fasciaFc)</t>
        </is>
      </c>
      <c r="I511" s="2">
        <f>MAX(1,TRUNC(L511*(Impostazioni!$B$2/500)*1*M511*INDEX(Impostazioni!$E$23:$E$29,MATCH(H511,Impostazioni!$D$23:$D$29,0))))</f>
        <v/>
      </c>
      <c r="J511" s="9">
        <f>MAX(1,TRUNC(L511*(Impostazioni!$B$2/500)*INDEX(Motore!$A$5:$H$8,MATCH(C511,Motore!$A$5:$A$8,0),8)*M511*INDEX(Impostazioni!$E$23:$E$29,MATCH(H511,Impostazioni!$D$23:$D$29,0))))</f>
        <v/>
      </c>
      <c r="K511" s="2" t="inlineStr">
        <is>
          <t>Scommessa / Sconosciuto</t>
        </is>
      </c>
      <c r="L511" s="2" t="n">
        <v>1</v>
      </c>
      <c r="M511" s="2" t="n">
        <v>1</v>
      </c>
    </row>
    <row r="512">
      <c r="A512" s="2" t="inlineStr">
        <is>
          <t>Gueye</t>
        </is>
      </c>
      <c r="B512" s="2" t="inlineStr">
        <is>
          <t>Udinese</t>
        </is>
      </c>
      <c r="C512" s="2" t="inlineStr">
        <is>
          <t>A</t>
        </is>
      </c>
      <c r="D512" s="2" t="inlineStr">
        <is>
          <t>Pc</t>
        </is>
      </c>
      <c r="E512" s="2" t="n">
        <v>4</v>
      </c>
      <c r="F512" s="2" t="n">
        <v>1.05</v>
      </c>
      <c r="G512" s="2" t="n">
        <v>0.5</v>
      </c>
      <c r="H512" s="8" t="inlineStr">
        <is>
          <t>🪑 Riserva Fissa (da fasciaFc)</t>
        </is>
      </c>
      <c r="I512" s="2">
        <f>MAX(1,TRUNC(L512*(Impostazioni!$B$2/500)*1*M512*INDEX(Impostazioni!$E$23:$E$29,MATCH(H512,Impostazioni!$D$23:$D$29,0))))</f>
        <v/>
      </c>
      <c r="J512" s="9">
        <f>MAX(1,TRUNC(L512*(Impostazioni!$B$2/500)*INDEX(Motore!$A$5:$H$8,MATCH(C512,Motore!$A$5:$A$8,0),8)*M512*INDEX(Impostazioni!$E$23:$E$29,MATCH(H512,Impostazioni!$D$23:$D$29,0))))</f>
        <v/>
      </c>
      <c r="K512" s="2" t="inlineStr">
        <is>
          <t>Scommessa / Sconosciuto</t>
        </is>
      </c>
      <c r="L512" s="2" t="n">
        <v>1</v>
      </c>
      <c r="M512" s="2" t="n">
        <v>1</v>
      </c>
    </row>
    <row r="513">
      <c r="A513" s="2" t="inlineStr">
        <is>
          <t>Havel</t>
        </is>
      </c>
      <c r="B513" s="2" t="inlineStr">
        <is>
          <t>Genoa</t>
        </is>
      </c>
      <c r="C513" s="2" t="inlineStr">
        <is>
          <t>A</t>
        </is>
      </c>
      <c r="D513" s="2" t="inlineStr">
        <is>
          <t>Pc</t>
        </is>
      </c>
      <c r="E513" s="2" t="n">
        <v>4</v>
      </c>
      <c r="F513" s="2" t="n">
        <v>0.5</v>
      </c>
      <c r="G513" s="2" t="n">
        <v>0.5</v>
      </c>
      <c r="H513" s="8" t="inlineStr">
        <is>
          <t>🪑 Riserva Fissa (da fasciaFc)</t>
        </is>
      </c>
      <c r="I513" s="2">
        <f>MAX(1,TRUNC(L513*(Impostazioni!$B$2/500)*1*M513*INDEX(Impostazioni!$E$23:$E$29,MATCH(H513,Impostazioni!$D$23:$D$29,0))))</f>
        <v/>
      </c>
      <c r="J513" s="9">
        <f>MAX(1,TRUNC(L513*(Impostazioni!$B$2/500)*INDEX(Motore!$A$5:$H$8,MATCH(C513,Motore!$A$5:$A$8,0),8)*M513*INDEX(Impostazioni!$E$23:$E$29,MATCH(H513,Impostazioni!$D$23:$D$29,0))))</f>
        <v/>
      </c>
      <c r="K513" s="2" t="inlineStr">
        <is>
          <t>Scommessa / Sconosciuto</t>
        </is>
      </c>
      <c r="L513" s="2" t="n">
        <v>1</v>
      </c>
      <c r="M513" s="2" t="n">
        <v>1</v>
      </c>
    </row>
    <row r="514">
      <c r="A514" s="2" t="inlineStr">
        <is>
          <t>Kulenovic</t>
        </is>
      </c>
      <c r="B514" s="2" t="inlineStr">
        <is>
          <t>Torino</t>
        </is>
      </c>
      <c r="C514" s="2" t="inlineStr">
        <is>
          <t>A</t>
        </is>
      </c>
      <c r="D514" s="2" t="inlineStr">
        <is>
          <t>Pc</t>
        </is>
      </c>
      <c r="E514" s="2" t="n">
        <v>4</v>
      </c>
      <c r="F514" s="2" t="n">
        <v>0.5</v>
      </c>
      <c r="G514" s="2" t="n">
        <v>0.5</v>
      </c>
      <c r="H514" s="8" t="inlineStr">
        <is>
          <t>Normale</t>
        </is>
      </c>
      <c r="I514" s="2">
        <f>MAX(1,TRUNC(L514*(Impostazioni!$B$2/500)*1*M514*INDEX(Impostazioni!$E$23:$E$29,MATCH(H514,Impostazioni!$D$23:$D$29,0))))</f>
        <v/>
      </c>
      <c r="J514" s="9">
        <f>MAX(1,TRUNC(L514*(Impostazioni!$B$2/500)*INDEX(Motore!$A$5:$H$8,MATCH(C514,Motore!$A$5:$A$8,0),8)*M514*INDEX(Impostazioni!$E$23:$E$29,MATCH(H514,Impostazioni!$D$23:$D$29,0))))</f>
        <v/>
      </c>
      <c r="K514" s="2" t="inlineStr">
        <is>
          <t>Scommessa / Sconosciuto</t>
        </is>
      </c>
      <c r="L514" s="2" t="n">
        <v>1</v>
      </c>
      <c r="M514" s="2" t="n">
        <v>1</v>
      </c>
    </row>
    <row r="515">
      <c r="A515" s="2" t="inlineStr">
        <is>
          <t>Lang</t>
        </is>
      </c>
      <c r="B515" s="2" t="inlineStr">
        <is>
          <t>Napoli</t>
        </is>
      </c>
      <c r="C515" s="2" t="inlineStr">
        <is>
          <t>A</t>
        </is>
      </c>
      <c r="D515" s="2" t="inlineStr">
        <is>
          <t>A</t>
        </is>
      </c>
      <c r="E515" s="2" t="n">
        <v>4</v>
      </c>
      <c r="F515" s="2" t="n">
        <v>1.55</v>
      </c>
      <c r="G515" s="2" t="n">
        <v>0.5</v>
      </c>
      <c r="H515" s="8" t="inlineStr">
        <is>
          <t>🟡 Ballottaggio</t>
        </is>
      </c>
      <c r="I515" s="2">
        <f>MAX(1,TRUNC(L515*(Impostazioni!$B$2/500)*1*M515*INDEX(Impostazioni!$E$23:$E$29,MATCH(H515,Impostazioni!$D$23:$D$29,0))))</f>
        <v/>
      </c>
      <c r="J515" s="9">
        <f>MAX(1,TRUNC(L515*(Impostazioni!$B$2/500)*INDEX(Motore!$A$5:$H$8,MATCH(C515,Motore!$A$5:$A$8,0),8)*M515*INDEX(Impostazioni!$E$23:$E$29,MATCH(H515,Impostazioni!$D$23:$D$29,0))))</f>
        <v/>
      </c>
      <c r="K515" s="2" t="inlineStr">
        <is>
          <t>Scommessa / Sconosciuto</t>
        </is>
      </c>
      <c r="L515" s="2" t="n">
        <v>1</v>
      </c>
      <c r="M515" s="2" t="n">
        <v>1</v>
      </c>
    </row>
    <row r="516">
      <c r="A516" s="2" t="inlineStr">
        <is>
          <t>Lucca</t>
        </is>
      </c>
      <c r="B516" s="2" t="inlineStr">
        <is>
          <t>Napoli</t>
        </is>
      </c>
      <c r="C516" s="2" t="inlineStr">
        <is>
          <t>A</t>
        </is>
      </c>
      <c r="D516" s="2" t="inlineStr">
        <is>
          <t>Pc</t>
        </is>
      </c>
      <c r="E516" s="2" t="n">
        <v>4</v>
      </c>
      <c r="F516" s="2" t="n">
        <v>1.15</v>
      </c>
      <c r="G516" s="2" t="n">
        <v>0.5</v>
      </c>
      <c r="H516" s="8" t="inlineStr">
        <is>
          <t>🪑 Riserva Fissa (da fasciaFc)</t>
        </is>
      </c>
      <c r="I516" s="2">
        <f>MAX(1,TRUNC(L516*(Impostazioni!$B$2/500)*1*M516*INDEX(Impostazioni!$E$23:$E$29,MATCH(H516,Impostazioni!$D$23:$D$29,0))))</f>
        <v/>
      </c>
      <c r="J516" s="9">
        <f>MAX(1,TRUNC(L516*(Impostazioni!$B$2/500)*INDEX(Motore!$A$5:$H$8,MATCH(C516,Motore!$A$5:$A$8,0),8)*M516*INDEX(Impostazioni!$E$23:$E$29,MATCH(H516,Impostazioni!$D$23:$D$29,0))))</f>
        <v/>
      </c>
      <c r="K516" s="2" t="inlineStr">
        <is>
          <t>Scommessa / Sconosciuto</t>
        </is>
      </c>
      <c r="L516" s="2" t="n">
        <v>1</v>
      </c>
      <c r="M516" s="2" t="n">
        <v>1</v>
      </c>
    </row>
    <row r="517">
      <c r="A517" s="2" t="inlineStr">
        <is>
          <t>Mendy P.</t>
        </is>
      </c>
      <c r="B517" s="2" t="inlineStr">
        <is>
          <t>Cagliari</t>
        </is>
      </c>
      <c r="C517" s="2" t="inlineStr">
        <is>
          <t>A</t>
        </is>
      </c>
      <c r="D517" s="2" t="inlineStr">
        <is>
          <t>Pc</t>
        </is>
      </c>
      <c r="E517" s="2" t="n">
        <v>4</v>
      </c>
      <c r="F517" s="2" t="n">
        <v>1.1</v>
      </c>
      <c r="G517" s="2" t="n">
        <v>0.5</v>
      </c>
      <c r="H517" s="8" t="inlineStr">
        <is>
          <t>🟡 Ballottaggio</t>
        </is>
      </c>
      <c r="I517" s="2">
        <f>MAX(1,TRUNC(L517*(Impostazioni!$B$2/500)*1*M517*INDEX(Impostazioni!$E$23:$E$29,MATCH(H517,Impostazioni!$D$23:$D$29,0))))</f>
        <v/>
      </c>
      <c r="J517" s="9">
        <f>MAX(1,TRUNC(L517*(Impostazioni!$B$2/500)*INDEX(Motore!$A$5:$H$8,MATCH(C517,Motore!$A$5:$A$8,0),8)*M517*INDEX(Impostazioni!$E$23:$E$29,MATCH(H517,Impostazioni!$D$23:$D$29,0))))</f>
        <v/>
      </c>
      <c r="K517" s="2" t="inlineStr">
        <is>
          <t>Scommessa / Sconosciuto</t>
        </is>
      </c>
      <c r="L517" s="2" t="n">
        <v>1</v>
      </c>
      <c r="M517" s="2" t="n">
        <v>1</v>
      </c>
    </row>
    <row r="518">
      <c r="A518" s="2" t="inlineStr">
        <is>
          <t>Milik</t>
        </is>
      </c>
      <c r="B518" s="2" t="inlineStr">
        <is>
          <t>Juventus</t>
        </is>
      </c>
      <c r="C518" s="2" t="inlineStr">
        <is>
          <t>A</t>
        </is>
      </c>
      <c r="D518" s="2" t="inlineStr">
        <is>
          <t>Pc</t>
        </is>
      </c>
      <c r="E518" s="2" t="n">
        <v>4</v>
      </c>
      <c r="F518" s="2" t="n">
        <v>0.95</v>
      </c>
      <c r="G518" s="2" t="n">
        <v>0.5</v>
      </c>
      <c r="H518" s="8" t="inlineStr">
        <is>
          <t>🪑 Riserva Fissa (da fasciaFc)</t>
        </is>
      </c>
      <c r="I518" s="2">
        <f>MAX(1,TRUNC(L518*(Impostazioni!$B$2/500)*1*M518*INDEX(Impostazioni!$E$23:$E$29,MATCH(H518,Impostazioni!$D$23:$D$29,0))))</f>
        <v/>
      </c>
      <c r="J518" s="9">
        <f>MAX(1,TRUNC(L518*(Impostazioni!$B$2/500)*INDEX(Motore!$A$5:$H$8,MATCH(C518,Motore!$A$5:$A$8,0),8)*M518*INDEX(Impostazioni!$E$23:$E$29,MATCH(H518,Impostazioni!$D$23:$D$29,0))))</f>
        <v/>
      </c>
      <c r="K518" s="2" t="inlineStr">
        <is>
          <t>Scommessa / Sconosciuto</t>
        </is>
      </c>
      <c r="L518" s="2" t="n">
        <v>1</v>
      </c>
      <c r="M518" s="2" t="n">
        <v>1</v>
      </c>
    </row>
    <row r="519">
      <c r="A519" s="2" t="inlineStr">
        <is>
          <t>Mota</t>
        </is>
      </c>
      <c r="B519" s="2" t="inlineStr">
        <is>
          <t>Monza</t>
        </is>
      </c>
      <c r="C519" s="2" t="inlineStr">
        <is>
          <t>A</t>
        </is>
      </c>
      <c r="D519" s="2" t="inlineStr">
        <is>
          <t>A</t>
        </is>
      </c>
      <c r="E519" s="2" t="n">
        <v>4</v>
      </c>
      <c r="F519" s="2" t="n">
        <v>1.15</v>
      </c>
      <c r="G519" s="2" t="n">
        <v>0.5</v>
      </c>
      <c r="H519" s="8" t="inlineStr">
        <is>
          <t>🪑 Riserva Fissa (da fasciaFc)</t>
        </is>
      </c>
      <c r="I519" s="2">
        <f>MAX(1,TRUNC(L519*(Impostazioni!$B$2/500)*1*M519*INDEX(Impostazioni!$E$23:$E$29,MATCH(H519,Impostazioni!$D$23:$D$29,0))))</f>
        <v/>
      </c>
      <c r="J519" s="9">
        <f>MAX(1,TRUNC(L519*(Impostazioni!$B$2/500)*INDEX(Motore!$A$5:$H$8,MATCH(C519,Motore!$A$5:$A$8,0),8)*M519*INDEX(Impostazioni!$E$23:$E$29,MATCH(H519,Impostazioni!$D$23:$D$29,0))))</f>
        <v/>
      </c>
      <c r="K519" s="2" t="inlineStr">
        <is>
          <t>Scommessa / Sconosciuto</t>
        </is>
      </c>
      <c r="L519" s="2" t="n">
        <v>1</v>
      </c>
      <c r="M519" s="2" t="n">
        <v>1</v>
      </c>
    </row>
    <row r="520">
      <c r="A520" s="2" t="inlineStr">
        <is>
          <t>N'Dri</t>
        </is>
      </c>
      <c r="B520" s="2" t="inlineStr">
        <is>
          <t>Lecce</t>
        </is>
      </c>
      <c r="C520" s="2" t="inlineStr">
        <is>
          <t>A</t>
        </is>
      </c>
      <c r="D520" s="2" t="inlineStr">
        <is>
          <t>W/A</t>
        </is>
      </c>
      <c r="E520" s="2" t="n">
        <v>4</v>
      </c>
      <c r="F520" s="2" t="n">
        <v>1</v>
      </c>
      <c r="G520" s="2" t="n">
        <v>0.5</v>
      </c>
      <c r="H520" s="8" t="inlineStr">
        <is>
          <t>🟡 Ballottaggio</t>
        </is>
      </c>
      <c r="I520" s="2">
        <f>MAX(1,TRUNC(L520*(Impostazioni!$B$2/500)*1*M520*INDEX(Impostazioni!$E$23:$E$29,MATCH(H520,Impostazioni!$D$23:$D$29,0))))</f>
        <v/>
      </c>
      <c r="J520" s="9">
        <f>MAX(1,TRUNC(L520*(Impostazioni!$B$2/500)*INDEX(Motore!$A$5:$H$8,MATCH(C520,Motore!$A$5:$A$8,0),8)*M520*INDEX(Impostazioni!$E$23:$E$29,MATCH(H520,Impostazioni!$D$23:$D$29,0))))</f>
        <v/>
      </c>
      <c r="K520" s="2" t="inlineStr">
        <is>
          <t>Scommessa / Sconosciuto</t>
        </is>
      </c>
      <c r="L520" s="2" t="n">
        <v>1</v>
      </c>
      <c r="M520" s="2" t="n">
        <v>1</v>
      </c>
    </row>
    <row r="521">
      <c r="A521" s="2" t="inlineStr">
        <is>
          <t>Nzola</t>
        </is>
      </c>
      <c r="B521" s="2" t="inlineStr">
        <is>
          <t>Cagliari</t>
        </is>
      </c>
      <c r="C521" s="2" t="inlineStr">
        <is>
          <t>A</t>
        </is>
      </c>
      <c r="D521" s="2" t="inlineStr">
        <is>
          <t>Pc</t>
        </is>
      </c>
      <c r="E521" s="2" t="n">
        <v>4</v>
      </c>
      <c r="F521" s="2" t="n">
        <v>1.15</v>
      </c>
      <c r="G521" s="2" t="n">
        <v>0.5</v>
      </c>
      <c r="H521" s="8" t="inlineStr">
        <is>
          <t>🎯🟡 Rigorista in Ballottaggio</t>
        </is>
      </c>
      <c r="I521" s="2">
        <f>MAX(1,TRUNC(L521*(Impostazioni!$B$2/500)*1*M521*INDEX(Impostazioni!$E$23:$E$29,MATCH(H521,Impostazioni!$D$23:$D$29,0))))</f>
        <v/>
      </c>
      <c r="J521" s="9">
        <f>MAX(1,TRUNC(L521*(Impostazioni!$B$2/500)*INDEX(Motore!$A$5:$H$8,MATCH(C521,Motore!$A$5:$A$8,0),8)*M521*INDEX(Impostazioni!$E$23:$E$29,MATCH(H521,Impostazioni!$D$23:$D$29,0))))</f>
        <v/>
      </c>
      <c r="K521" s="2" t="inlineStr">
        <is>
          <t>Scommessa / Sconosciuto</t>
        </is>
      </c>
      <c r="L521" s="2" t="n">
        <v>1</v>
      </c>
      <c r="M521" s="2" t="n">
        <v>1</v>
      </c>
    </row>
    <row r="522">
      <c r="A522" s="2" t="inlineStr">
        <is>
          <t>Robinson J.</t>
        </is>
      </c>
      <c r="B522" s="2" t="inlineStr">
        <is>
          <t>Monza</t>
        </is>
      </c>
      <c r="C522" s="2" t="inlineStr">
        <is>
          <t>A</t>
        </is>
      </c>
      <c r="D522" s="2" t="inlineStr">
        <is>
          <t>A</t>
        </is>
      </c>
      <c r="E522" s="2" t="n">
        <v>4</v>
      </c>
      <c r="F522" s="2" t="n">
        <v>0.5</v>
      </c>
      <c r="G522" s="2" t="n">
        <v>0.5</v>
      </c>
      <c r="H522" s="8" t="inlineStr">
        <is>
          <t>🪑 Riserva Fissa (da fasciaFc)</t>
        </is>
      </c>
      <c r="I522" s="2">
        <f>MAX(1,TRUNC(L522*(Impostazioni!$B$2/500)*1*M522*INDEX(Impostazioni!$E$23:$E$29,MATCH(H522,Impostazioni!$D$23:$D$29,0))))</f>
        <v/>
      </c>
      <c r="J522" s="9">
        <f>MAX(1,TRUNC(L522*(Impostazioni!$B$2/500)*INDEX(Motore!$A$5:$H$8,MATCH(C522,Motore!$A$5:$A$8,0),8)*M522*INDEX(Impostazioni!$E$23:$E$29,MATCH(H522,Impostazioni!$D$23:$D$29,0))))</f>
        <v/>
      </c>
      <c r="K522" s="2" t="inlineStr">
        <is>
          <t>Scommessa / Sconosciuto</t>
        </is>
      </c>
      <c r="L522" s="2" t="n">
        <v>1</v>
      </c>
      <c r="M522" s="2" t="n">
        <v>1</v>
      </c>
    </row>
    <row r="523">
      <c r="A523" s="2" t="inlineStr">
        <is>
          <t>Ekhator</t>
        </is>
      </c>
      <c r="B523" s="2" t="inlineStr">
        <is>
          <t>Juventus</t>
        </is>
      </c>
      <c r="C523" s="2" t="inlineStr">
        <is>
          <t>A</t>
        </is>
      </c>
      <c r="D523" s="2" t="inlineStr">
        <is>
          <t>A</t>
        </is>
      </c>
      <c r="E523" s="2" t="n">
        <v>3</v>
      </c>
      <c r="F523" s="2" t="n">
        <v>1.1</v>
      </c>
      <c r="G523" s="2" t="n">
        <v>0.5</v>
      </c>
      <c r="H523" s="8" t="inlineStr">
        <is>
          <t>🔴 Infortunato/Dubbio</t>
        </is>
      </c>
      <c r="I523" s="2">
        <f>MAX(1,TRUNC(L523*(Impostazioni!$B$2/500)*1*M523*INDEX(Impostazioni!$E$23:$E$29,MATCH(H523,Impostazioni!$D$23:$D$29,0))))</f>
        <v/>
      </c>
      <c r="J523" s="9">
        <f>MAX(1,TRUNC(L523*(Impostazioni!$B$2/500)*INDEX(Motore!$A$5:$H$8,MATCH(C523,Motore!$A$5:$A$8,0),8)*M523*INDEX(Impostazioni!$E$23:$E$29,MATCH(H523,Impostazioni!$D$23:$D$29,0))))</f>
        <v/>
      </c>
      <c r="K523" s="2" t="inlineStr">
        <is>
          <t>Scommessa / Sconosciuto</t>
        </is>
      </c>
      <c r="L523" s="2" t="n">
        <v>1</v>
      </c>
      <c r="M523" s="2" t="n">
        <v>1</v>
      </c>
    </row>
    <row r="524">
      <c r="A524" s="2" t="inlineStr">
        <is>
          <t>Elphege</t>
        </is>
      </c>
      <c r="B524" s="2" t="inlineStr">
        <is>
          <t>Parma</t>
        </is>
      </c>
      <c r="C524" s="2" t="inlineStr">
        <is>
          <t>A</t>
        </is>
      </c>
      <c r="D524" s="2" t="inlineStr">
        <is>
          <t>Pc</t>
        </is>
      </c>
      <c r="E524" s="2" t="n">
        <v>3</v>
      </c>
      <c r="F524" s="2" t="n">
        <v>0.9</v>
      </c>
      <c r="G524" s="2" t="n">
        <v>0.5</v>
      </c>
      <c r="H524" s="8" t="inlineStr">
        <is>
          <t>Normale</t>
        </is>
      </c>
      <c r="I524" s="2">
        <f>MAX(1,TRUNC(L524*(Impostazioni!$B$2/500)*1*M524*INDEX(Impostazioni!$E$23:$E$29,MATCH(H524,Impostazioni!$D$23:$D$29,0))))</f>
        <v/>
      </c>
      <c r="J524" s="9">
        <f>MAX(1,TRUNC(L524*(Impostazioni!$B$2/500)*INDEX(Motore!$A$5:$H$8,MATCH(C524,Motore!$A$5:$A$8,0),8)*M524*INDEX(Impostazioni!$E$23:$E$29,MATCH(H524,Impostazioni!$D$23:$D$29,0))))</f>
        <v/>
      </c>
      <c r="K524" s="2" t="inlineStr">
        <is>
          <t>Scommessa / Sconosciuto</t>
        </is>
      </c>
      <c r="L524" s="2" t="n">
        <v>1</v>
      </c>
      <c r="M524" s="2" t="n">
        <v>1</v>
      </c>
    </row>
    <row r="525">
      <c r="A525" s="2" t="inlineStr">
        <is>
          <t>Lontani</t>
        </is>
      </c>
      <c r="B525" s="2" t="inlineStr">
        <is>
          <t>Parma</t>
        </is>
      </c>
      <c r="C525" s="2" t="inlineStr">
        <is>
          <t>A</t>
        </is>
      </c>
      <c r="D525" s="2" t="inlineStr">
        <is>
          <t>A</t>
        </is>
      </c>
      <c r="E525" s="2" t="n">
        <v>3</v>
      </c>
      <c r="F525" s="2" t="n">
        <v>1.25</v>
      </c>
      <c r="G525" s="2" t="n">
        <v>0.5</v>
      </c>
      <c r="H525" s="8" t="inlineStr">
        <is>
          <t>🪑 Riserva Fissa (da fasciaFc)</t>
        </is>
      </c>
      <c r="I525" s="2">
        <f>MAX(1,TRUNC(L525*(Impostazioni!$B$2/500)*1*M525*INDEX(Impostazioni!$E$23:$E$29,MATCH(H525,Impostazioni!$D$23:$D$29,0))))</f>
        <v/>
      </c>
      <c r="J525" s="9">
        <f>MAX(1,TRUNC(L525*(Impostazioni!$B$2/500)*INDEX(Motore!$A$5:$H$8,MATCH(C525,Motore!$A$5:$A$8,0),8)*M525*INDEX(Impostazioni!$E$23:$E$29,MATCH(H525,Impostazioni!$D$23:$D$29,0))))</f>
        <v/>
      </c>
      <c r="K525" s="2" t="inlineStr">
        <is>
          <t>Scommessa / Sconosciuto</t>
        </is>
      </c>
      <c r="L525" s="2" t="n">
        <v>1</v>
      </c>
      <c r="M525" s="2" t="n">
        <v>1</v>
      </c>
    </row>
    <row r="526">
      <c r="A526" s="2" t="inlineStr">
        <is>
          <t>Enem</t>
        </is>
      </c>
      <c r="B526" s="2" t="inlineStr">
        <is>
          <t>Bologna</t>
        </is>
      </c>
      <c r="C526" s="2" t="inlineStr">
        <is>
          <t>A</t>
        </is>
      </c>
      <c r="D526" s="2" t="inlineStr">
        <is>
          <t>Pc</t>
        </is>
      </c>
      <c r="E526" s="2" t="n">
        <v>2</v>
      </c>
      <c r="F526" s="2" t="n">
        <v>0.5</v>
      </c>
      <c r="G526" s="2" t="n">
        <v>0.5</v>
      </c>
      <c r="H526" s="8" t="inlineStr">
        <is>
          <t>🪑 Riserva Fissa (da fasciaFc)</t>
        </is>
      </c>
      <c r="I526" s="2">
        <f>MAX(1,TRUNC(L526*(Impostazioni!$B$2/500)*1*M526*INDEX(Impostazioni!$E$23:$E$29,MATCH(H526,Impostazioni!$D$23:$D$29,0))))</f>
        <v/>
      </c>
      <c r="J526" s="9">
        <f>MAX(1,TRUNC(L526*(Impostazioni!$B$2/500)*INDEX(Motore!$A$5:$H$8,MATCH(C526,Motore!$A$5:$A$8,0),8)*M526*INDEX(Impostazioni!$E$23:$E$29,MATCH(H526,Impostazioni!$D$23:$D$29,0))))</f>
        <v/>
      </c>
      <c r="K526" s="2" t="inlineStr">
        <is>
          <t>Scommessa / Sconosciuto</t>
        </is>
      </c>
      <c r="L526" s="2" t="n">
        <v>1</v>
      </c>
      <c r="M526" s="2" t="n">
        <v>1</v>
      </c>
    </row>
    <row r="527">
      <c r="A527" s="2" t="inlineStr">
        <is>
          <t>Bayo V.</t>
        </is>
      </c>
      <c r="B527" s="2" t="inlineStr">
        <is>
          <t>Udinese</t>
        </is>
      </c>
      <c r="C527" s="2" t="inlineStr">
        <is>
          <t>A</t>
        </is>
      </c>
      <c r="D527" s="2" t="inlineStr">
        <is>
          <t>Pc</t>
        </is>
      </c>
      <c r="E527" s="2" t="n">
        <v>1</v>
      </c>
      <c r="F527" s="2" t="n">
        <v>0.95</v>
      </c>
      <c r="G527" s="2" t="n">
        <v>0.5</v>
      </c>
      <c r="H527" s="8" t="inlineStr">
        <is>
          <t>🪑 Riserva Fissa (da fasciaFc)</t>
        </is>
      </c>
      <c r="I527" s="2">
        <f>MAX(1,TRUNC(L527*(Impostazioni!$B$2/500)*1*M527*INDEX(Impostazioni!$E$23:$E$29,MATCH(H527,Impostazioni!$D$23:$D$29,0))))</f>
        <v/>
      </c>
      <c r="J527" s="9">
        <f>MAX(1,TRUNC(L527*(Impostazioni!$B$2/500)*INDEX(Motore!$A$5:$H$8,MATCH(C527,Motore!$A$5:$A$8,0),8)*M527*INDEX(Impostazioni!$E$23:$E$29,MATCH(H527,Impostazioni!$D$23:$D$29,0))))</f>
        <v/>
      </c>
      <c r="K527" s="2" t="inlineStr">
        <is>
          <t>Scommessa / Sconosciuto</t>
        </is>
      </c>
      <c r="L527" s="2" t="n">
        <v>1</v>
      </c>
      <c r="M527" s="2" t="n">
        <v>1</v>
      </c>
    </row>
    <row r="528">
      <c r="A528" s="2" t="inlineStr">
        <is>
          <t>De Martis</t>
        </is>
      </c>
      <c r="B528" s="2" t="inlineStr">
        <is>
          <t>Parma</t>
        </is>
      </c>
      <c r="C528" s="2" t="inlineStr">
        <is>
          <t>A</t>
        </is>
      </c>
      <c r="D528" s="2" t="inlineStr">
        <is>
          <t>Pc</t>
        </is>
      </c>
      <c r="E528" s="2" t="n">
        <v>1</v>
      </c>
      <c r="F528" s="2" t="n">
        <v>0.5</v>
      </c>
      <c r="G528" s="2" t="n">
        <v>0.5</v>
      </c>
      <c r="H528" s="8" t="inlineStr">
        <is>
          <t>🟡 Ballottaggio</t>
        </is>
      </c>
      <c r="I528" s="2">
        <f>MAX(1,TRUNC(L528*(Impostazioni!$B$2/500)*1*M528*INDEX(Impostazioni!$E$23:$E$29,MATCH(H528,Impostazioni!$D$23:$D$29,0))))</f>
        <v/>
      </c>
      <c r="J528" s="9">
        <f>MAX(1,TRUNC(L528*(Impostazioni!$B$2/500)*INDEX(Motore!$A$5:$H$8,MATCH(C528,Motore!$A$5:$A$8,0),8)*M528*INDEX(Impostazioni!$E$23:$E$29,MATCH(H528,Impostazioni!$D$23:$D$29,0))))</f>
        <v/>
      </c>
      <c r="K528" s="2" t="inlineStr">
        <is>
          <t>Scommessa / Sconosciuto</t>
        </is>
      </c>
      <c r="L528" s="2" t="n">
        <v>1</v>
      </c>
      <c r="M528" s="2" t="n">
        <v>1</v>
      </c>
    </row>
    <row r="529">
      <c r="A529" s="2" t="inlineStr">
        <is>
          <t>Lauberbach</t>
        </is>
      </c>
      <c r="B529" s="2" t="inlineStr">
        <is>
          <t>Venezia</t>
        </is>
      </c>
      <c r="C529" s="2" t="inlineStr">
        <is>
          <t>A</t>
        </is>
      </c>
      <c r="D529" s="2" t="inlineStr">
        <is>
          <t>Pc</t>
        </is>
      </c>
      <c r="E529" s="2" t="n">
        <v>1</v>
      </c>
      <c r="F529" s="2" t="n">
        <v>0.5</v>
      </c>
      <c r="G529" s="2" t="n">
        <v>0.5</v>
      </c>
      <c r="H529" s="8" t="inlineStr">
        <is>
          <t>🪑 Riserva Fissa (da fasciaFc)</t>
        </is>
      </c>
      <c r="I529" s="2">
        <f>MAX(1,TRUNC(L529*(Impostazioni!$B$2/500)*1*M529*INDEX(Impostazioni!$E$23:$E$29,MATCH(H529,Impostazioni!$D$23:$D$29,0))))</f>
        <v/>
      </c>
      <c r="J529" s="9">
        <f>MAX(1,TRUNC(L529*(Impostazioni!$B$2/500)*INDEX(Motore!$A$5:$H$8,MATCH(C529,Motore!$A$5:$A$8,0),8)*M529*INDEX(Impostazioni!$E$23:$E$29,MATCH(H529,Impostazioni!$D$23:$D$29,0))))</f>
        <v/>
      </c>
      <c r="K529" s="2" t="inlineStr">
        <is>
          <t>Scommessa / Sconosciuto</t>
        </is>
      </c>
      <c r="L529" s="2" t="n">
        <v>1</v>
      </c>
      <c r="M529" s="2" t="n">
        <v>1</v>
      </c>
    </row>
    <row r="530">
      <c r="A530" s="2" t="inlineStr">
        <is>
          <t>Lisman</t>
        </is>
      </c>
      <c r="B530" s="2" t="inlineStr">
        <is>
          <t>Venezia</t>
        </is>
      </c>
      <c r="C530" s="2" t="inlineStr">
        <is>
          <t>A</t>
        </is>
      </c>
      <c r="D530" s="2" t="inlineStr">
        <is>
          <t>W;A</t>
        </is>
      </c>
      <c r="E530" s="2" t="n">
        <v>1</v>
      </c>
      <c r="F530" s="2" t="n">
        <v>0.5</v>
      </c>
      <c r="G530" s="2" t="n">
        <v>0.5</v>
      </c>
      <c r="H530" s="8" t="inlineStr">
        <is>
          <t>🪑 Riserva Fissa (da fasciaFc)</t>
        </is>
      </c>
      <c r="I530" s="2">
        <f>MAX(1,TRUNC(L530*(Impostazioni!$B$2/500)*1*M530*INDEX(Impostazioni!$E$23:$E$29,MATCH(H530,Impostazioni!$D$23:$D$29,0))))</f>
        <v/>
      </c>
      <c r="J530" s="9">
        <f>MAX(1,TRUNC(L530*(Impostazioni!$B$2/500)*INDEX(Motore!$A$5:$H$8,MATCH(C530,Motore!$A$5:$A$8,0),8)*M530*INDEX(Impostazioni!$E$23:$E$29,MATCH(H530,Impostazioni!$D$23:$D$29,0))))</f>
        <v/>
      </c>
      <c r="K530" s="2" t="inlineStr">
        <is>
          <t>Scommessa / Sconosciuto</t>
        </is>
      </c>
      <c r="L530" s="2" t="n">
        <v>1</v>
      </c>
      <c r="M530" s="2" t="n">
        <v>1</v>
      </c>
    </row>
    <row r="531">
      <c r="A531" s="2" t="inlineStr">
        <is>
          <t>Robinho Junior</t>
        </is>
      </c>
      <c r="B531" s="2" t="inlineStr">
        <is>
          <t>Genoa</t>
        </is>
      </c>
      <c r="C531" s="2" t="inlineStr">
        <is>
          <t>A</t>
        </is>
      </c>
      <c r="D531" s="2" t="inlineStr">
        <is>
          <t>A</t>
        </is>
      </c>
      <c r="E531" s="2" t="n">
        <v>1</v>
      </c>
      <c r="F531" s="2" t="n">
        <v>0.8</v>
      </c>
      <c r="G531" s="2" t="n">
        <v>0.5</v>
      </c>
      <c r="H531" s="8" t="inlineStr">
        <is>
          <t>🪑 Riserva Fissa (da fasciaFc)</t>
        </is>
      </c>
      <c r="I531" s="2">
        <f>MAX(1,TRUNC(L531*(Impostazioni!$B$2/500)*1*M531*INDEX(Impostazioni!$E$23:$E$29,MATCH(H531,Impostazioni!$D$23:$D$29,0))))</f>
        <v/>
      </c>
      <c r="J531" s="9">
        <f>MAX(1,TRUNC(L531*(Impostazioni!$B$2/500)*INDEX(Motore!$A$5:$H$8,MATCH(C531,Motore!$A$5:$A$8,0),8)*M531*INDEX(Impostazioni!$E$23:$E$29,MATCH(H531,Impostazioni!$D$23:$D$29,0))))</f>
        <v/>
      </c>
      <c r="K531" s="2" t="inlineStr">
        <is>
          <t>Scommessa / Sconosciuto</t>
        </is>
      </c>
      <c r="L531" s="2" t="n">
        <v>1</v>
      </c>
      <c r="M531" s="2" t="n">
        <v>1</v>
      </c>
    </row>
    <row r="532">
      <c r="A532" s="2" t="inlineStr">
        <is>
          <t>Trepy</t>
        </is>
      </c>
      <c r="B532" s="2" t="inlineStr">
        <is>
          <t>Cagliari</t>
        </is>
      </c>
      <c r="C532" s="2" t="inlineStr">
        <is>
          <t>A</t>
        </is>
      </c>
      <c r="D532" s="2" t="inlineStr">
        <is>
          <t>Pc</t>
        </is>
      </c>
      <c r="E532" s="2" t="n">
        <v>1</v>
      </c>
      <c r="F532" s="2" t="n">
        <v>0.9</v>
      </c>
      <c r="G532" s="2" t="n">
        <v>0.5</v>
      </c>
      <c r="H532" s="8" t="inlineStr">
        <is>
          <t>🔴 Infortunato/Dubbio</t>
        </is>
      </c>
      <c r="I532" s="2">
        <f>MAX(1,TRUNC(L532*(Impostazioni!$B$2/500)*1*M532*INDEX(Impostazioni!$E$23:$E$29,MATCH(H532,Impostazioni!$D$23:$D$29,0))))</f>
        <v/>
      </c>
      <c r="J532" s="9">
        <f>MAX(1,TRUNC(L532*(Impostazioni!$B$2/500)*INDEX(Motore!$A$5:$H$8,MATCH(C532,Motore!$A$5:$A$8,0),8)*M532*INDEX(Impostazioni!$E$23:$E$29,MATCH(H532,Impostazioni!$D$23:$D$29,0))))</f>
        <v/>
      </c>
      <c r="K532" s="2" t="inlineStr">
        <is>
          <t>Scommessa / Sconosciuto</t>
        </is>
      </c>
      <c r="L532" s="2" t="n">
        <v>1</v>
      </c>
      <c r="M532" s="2" t="n">
        <v>1</v>
      </c>
    </row>
    <row r="534">
      <c r="A534" s="7" t="inlineStr">
        <is>
          <t>Colonne L,M = ausiliarie del motore. 'iniziale' = a inizio asta; 'ORA' include l'inflazione corrente.</t>
        </is>
      </c>
    </row>
  </sheetData>
  <autoFilter ref="A1:M532"/>
  <dataValidations count="1">
    <dataValidation sqref="H2:H532" showDropDown="0" showInputMessage="0" showErrorMessage="0" allowBlank="1" type="list">
      <formula1>ElencoFlag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12" customWidth="1" min="4" max="4"/>
    <col width="8" customWidth="1" min="5" max="5"/>
    <col width="16" customWidth="1" min="6" max="6"/>
    <col width="9" customWidth="1" min="7" max="7"/>
    <col width="20" customWidth="1" min="8" max="8"/>
    <col width="5" customWidth="1" min="9" max="9"/>
    <col width="22" customWidth="1" min="10" max="10"/>
  </cols>
  <sheetData>
    <row r="1">
      <c r="A1" s="3" t="inlineStr">
        <is>
          <t>ASTA LIVE — registra qui ogni acquisto</t>
        </is>
      </c>
    </row>
    <row r="2">
      <c r="A2" s="7" t="inlineStr">
        <is>
          <t>ESEMPIO riga 4: Svilar / Squadra 1 / 46  (cancella e inizia)</t>
        </is>
      </c>
    </row>
    <row r="3">
      <c r="A3" s="6" t="inlineStr">
        <is>
          <t>Giocatore</t>
        </is>
      </c>
      <c r="B3" s="6" t="inlineStr">
        <is>
          <t>Squadra</t>
        </is>
      </c>
      <c r="C3" s="6" t="inlineStr">
        <is>
          <t>Ruolo</t>
        </is>
      </c>
      <c r="D3" s="6" t="inlineStr">
        <is>
          <t>Ruolo Mantra</t>
        </is>
      </c>
      <c r="E3" s="6" t="inlineStr">
        <is>
          <t>PMA</t>
        </is>
      </c>
      <c r="F3" s="6" t="inlineStr">
        <is>
          <t>Proprietario</t>
        </is>
      </c>
      <c r="G3" s="6" t="inlineStr">
        <is>
          <t>Prezzo</t>
        </is>
      </c>
      <c r="H3" s="6" t="inlineStr">
        <is>
          <t>chiave</t>
        </is>
      </c>
      <c r="I3" s="6" t="inlineStr">
        <is>
          <t>n</t>
        </is>
      </c>
      <c r="J3" s="6" t="inlineStr">
        <is>
          <t>chiave slot</t>
        </is>
      </c>
    </row>
    <row r="4">
      <c r="A4" s="8" t="inlineStr">
        <is>
          <t>Svilar</t>
        </is>
      </c>
      <c r="B4" s="2">
        <f>IF($A4="","",IFERROR(INDEX(Listone!$B$2:$B$532,MATCH($A4,Listone!$A$2:$A$532,0)),"?"))</f>
        <v/>
      </c>
      <c r="C4" s="2">
        <f>IF($A4="","",IFERROR(INDEX(Listone!$C$2:$C$532,MATCH($A4,Listone!$A$2:$A$532,0)),""))</f>
        <v/>
      </c>
      <c r="D4" s="2">
        <f>IF($A4="","",IFERROR(INDEX(Listone!$D$2:$D$532,MATCH($A4,Listone!$A$2:$A$532,0)),""))</f>
        <v/>
      </c>
      <c r="E4" s="2">
        <f>IF($A4="","",IFERROR(INDEX(Listone!$G$2:$G$532,MATCH($A4,Listone!$A$2:$A$532,0)),""))</f>
        <v/>
      </c>
      <c r="F4" s="8" t="inlineStr">
        <is>
          <t>Squadra 1</t>
        </is>
      </c>
      <c r="G4" s="8" t="n">
        <v>46</v>
      </c>
      <c r="H4" s="7">
        <f>IF(OR($A4="",$F4=""),"",$F4&amp;"|"&amp;$C4)</f>
        <v/>
      </c>
      <c r="I4" s="7">
        <f>IF($H4="","",COUNTIF($H$4:$H4,$H4))</f>
        <v/>
      </c>
      <c r="J4" s="7">
        <f>IF($H4="","",$H4&amp;"|"&amp;$I4)</f>
        <v/>
      </c>
    </row>
    <row r="5">
      <c r="A5" s="8" t="n"/>
      <c r="B5" s="2">
        <f>IF($A5="","",IFERROR(INDEX(Listone!$B$2:$B$532,MATCH($A5,Listone!$A$2:$A$532,0)),"?"))</f>
        <v/>
      </c>
      <c r="C5" s="2">
        <f>IF($A5="","",IFERROR(INDEX(Listone!$C$2:$C$532,MATCH($A5,Listone!$A$2:$A$532,0)),""))</f>
        <v/>
      </c>
      <c r="D5" s="2">
        <f>IF($A5="","",IFERROR(INDEX(Listone!$D$2:$D$532,MATCH($A5,Listone!$A$2:$A$532,0)),""))</f>
        <v/>
      </c>
      <c r="E5" s="2">
        <f>IF($A5="","",IFERROR(INDEX(Listone!$G$2:$G$532,MATCH($A5,Listone!$A$2:$A$532,0)),""))</f>
        <v/>
      </c>
      <c r="F5" s="8" t="n"/>
      <c r="G5" s="8" t="n"/>
      <c r="H5" s="7">
        <f>IF(OR($A5="",$F5=""),"",$F5&amp;"|"&amp;$C5)</f>
        <v/>
      </c>
      <c r="I5" s="7">
        <f>IF($H5="","",COUNTIF($H$4:$H5,$H5))</f>
        <v/>
      </c>
      <c r="J5" s="7">
        <f>IF($H5="","",$H5&amp;"|"&amp;$I5)</f>
        <v/>
      </c>
    </row>
    <row r="6">
      <c r="A6" s="8" t="n"/>
      <c r="B6" s="2">
        <f>IF($A6="","",IFERROR(INDEX(Listone!$B$2:$B$532,MATCH($A6,Listone!$A$2:$A$532,0)),"?"))</f>
        <v/>
      </c>
      <c r="C6" s="2">
        <f>IF($A6="","",IFERROR(INDEX(Listone!$C$2:$C$532,MATCH($A6,Listone!$A$2:$A$532,0)),""))</f>
        <v/>
      </c>
      <c r="D6" s="2">
        <f>IF($A6="","",IFERROR(INDEX(Listone!$D$2:$D$532,MATCH($A6,Listone!$A$2:$A$532,0)),""))</f>
        <v/>
      </c>
      <c r="E6" s="2">
        <f>IF($A6="","",IFERROR(INDEX(Listone!$G$2:$G$532,MATCH($A6,Listone!$A$2:$A$532,0)),""))</f>
        <v/>
      </c>
      <c r="F6" s="8" t="n"/>
      <c r="G6" s="8" t="n"/>
      <c r="H6" s="7">
        <f>IF(OR($A6="",$F6=""),"",$F6&amp;"|"&amp;$C6)</f>
        <v/>
      </c>
      <c r="I6" s="7">
        <f>IF($H6="","",COUNTIF($H$4:$H6,$H6))</f>
        <v/>
      </c>
      <c r="J6" s="7">
        <f>IF($H6="","",$H6&amp;"|"&amp;$I6)</f>
        <v/>
      </c>
    </row>
    <row r="7">
      <c r="A7" s="8" t="n"/>
      <c r="B7" s="2">
        <f>IF($A7="","",IFERROR(INDEX(Listone!$B$2:$B$532,MATCH($A7,Listone!$A$2:$A$532,0)),"?"))</f>
        <v/>
      </c>
      <c r="C7" s="2">
        <f>IF($A7="","",IFERROR(INDEX(Listone!$C$2:$C$532,MATCH($A7,Listone!$A$2:$A$532,0)),""))</f>
        <v/>
      </c>
      <c r="D7" s="2">
        <f>IF($A7="","",IFERROR(INDEX(Listone!$D$2:$D$532,MATCH($A7,Listone!$A$2:$A$532,0)),""))</f>
        <v/>
      </c>
      <c r="E7" s="2">
        <f>IF($A7="","",IFERROR(INDEX(Listone!$G$2:$G$532,MATCH($A7,Listone!$A$2:$A$532,0)),""))</f>
        <v/>
      </c>
      <c r="F7" s="8" t="n"/>
      <c r="G7" s="8" t="n"/>
      <c r="H7" s="7">
        <f>IF(OR($A7="",$F7=""),"",$F7&amp;"|"&amp;$C7)</f>
        <v/>
      </c>
      <c r="I7" s="7">
        <f>IF($H7="","",COUNTIF($H$4:$H7,$H7))</f>
        <v/>
      </c>
      <c r="J7" s="7">
        <f>IF($H7="","",$H7&amp;"|"&amp;$I7)</f>
        <v/>
      </c>
    </row>
    <row r="8">
      <c r="A8" s="8" t="n"/>
      <c r="B8" s="2">
        <f>IF($A8="","",IFERROR(INDEX(Listone!$B$2:$B$532,MATCH($A8,Listone!$A$2:$A$532,0)),"?"))</f>
        <v/>
      </c>
      <c r="C8" s="2">
        <f>IF($A8="","",IFERROR(INDEX(Listone!$C$2:$C$532,MATCH($A8,Listone!$A$2:$A$532,0)),""))</f>
        <v/>
      </c>
      <c r="D8" s="2">
        <f>IF($A8="","",IFERROR(INDEX(Listone!$D$2:$D$532,MATCH($A8,Listone!$A$2:$A$532,0)),""))</f>
        <v/>
      </c>
      <c r="E8" s="2">
        <f>IF($A8="","",IFERROR(INDEX(Listone!$G$2:$G$532,MATCH($A8,Listone!$A$2:$A$532,0)),""))</f>
        <v/>
      </c>
      <c r="F8" s="8" t="n"/>
      <c r="G8" s="8" t="n"/>
      <c r="H8" s="7">
        <f>IF(OR($A8="",$F8=""),"",$F8&amp;"|"&amp;$C8)</f>
        <v/>
      </c>
      <c r="I8" s="7">
        <f>IF($H8="","",COUNTIF($H$4:$H8,$H8))</f>
        <v/>
      </c>
      <c r="J8" s="7">
        <f>IF($H8="","",$H8&amp;"|"&amp;$I8)</f>
        <v/>
      </c>
    </row>
    <row r="9">
      <c r="A9" s="8" t="n"/>
      <c r="B9" s="2">
        <f>IF($A9="","",IFERROR(INDEX(Listone!$B$2:$B$532,MATCH($A9,Listone!$A$2:$A$532,0)),"?"))</f>
        <v/>
      </c>
      <c r="C9" s="2">
        <f>IF($A9="","",IFERROR(INDEX(Listone!$C$2:$C$532,MATCH($A9,Listone!$A$2:$A$532,0)),""))</f>
        <v/>
      </c>
      <c r="D9" s="2">
        <f>IF($A9="","",IFERROR(INDEX(Listone!$D$2:$D$532,MATCH($A9,Listone!$A$2:$A$532,0)),""))</f>
        <v/>
      </c>
      <c r="E9" s="2">
        <f>IF($A9="","",IFERROR(INDEX(Listone!$G$2:$G$532,MATCH($A9,Listone!$A$2:$A$532,0)),""))</f>
        <v/>
      </c>
      <c r="F9" s="8" t="n"/>
      <c r="G9" s="8" t="n"/>
      <c r="H9" s="7">
        <f>IF(OR($A9="",$F9=""),"",$F9&amp;"|"&amp;$C9)</f>
        <v/>
      </c>
      <c r="I9" s="7">
        <f>IF($H9="","",COUNTIF($H$4:$H9,$H9))</f>
        <v/>
      </c>
      <c r="J9" s="7">
        <f>IF($H9="","",$H9&amp;"|"&amp;$I9)</f>
        <v/>
      </c>
    </row>
    <row r="10">
      <c r="A10" s="8" t="n"/>
      <c r="B10" s="2">
        <f>IF($A10="","",IFERROR(INDEX(Listone!$B$2:$B$532,MATCH($A10,Listone!$A$2:$A$532,0)),"?"))</f>
        <v/>
      </c>
      <c r="C10" s="2">
        <f>IF($A10="","",IFERROR(INDEX(Listone!$C$2:$C$532,MATCH($A10,Listone!$A$2:$A$532,0)),""))</f>
        <v/>
      </c>
      <c r="D10" s="2">
        <f>IF($A10="","",IFERROR(INDEX(Listone!$D$2:$D$532,MATCH($A10,Listone!$A$2:$A$532,0)),""))</f>
        <v/>
      </c>
      <c r="E10" s="2">
        <f>IF($A10="","",IFERROR(INDEX(Listone!$G$2:$G$532,MATCH($A10,Listone!$A$2:$A$532,0)),""))</f>
        <v/>
      </c>
      <c r="F10" s="8" t="n"/>
      <c r="G10" s="8" t="n"/>
      <c r="H10" s="7">
        <f>IF(OR($A10="",$F10=""),"",$F10&amp;"|"&amp;$C10)</f>
        <v/>
      </c>
      <c r="I10" s="7">
        <f>IF($H10="","",COUNTIF($H$4:$H10,$H10))</f>
        <v/>
      </c>
      <c r="J10" s="7">
        <f>IF($H10="","",$H10&amp;"|"&amp;$I10)</f>
        <v/>
      </c>
    </row>
    <row r="11">
      <c r="A11" s="8" t="n"/>
      <c r="B11" s="2">
        <f>IF($A11="","",IFERROR(INDEX(Listone!$B$2:$B$532,MATCH($A11,Listone!$A$2:$A$532,0)),"?"))</f>
        <v/>
      </c>
      <c r="C11" s="2">
        <f>IF($A11="","",IFERROR(INDEX(Listone!$C$2:$C$532,MATCH($A11,Listone!$A$2:$A$532,0)),""))</f>
        <v/>
      </c>
      <c r="D11" s="2">
        <f>IF($A11="","",IFERROR(INDEX(Listone!$D$2:$D$532,MATCH($A11,Listone!$A$2:$A$532,0)),""))</f>
        <v/>
      </c>
      <c r="E11" s="2">
        <f>IF($A11="","",IFERROR(INDEX(Listone!$G$2:$G$532,MATCH($A11,Listone!$A$2:$A$532,0)),""))</f>
        <v/>
      </c>
      <c r="F11" s="8" t="n"/>
      <c r="G11" s="8" t="n"/>
      <c r="H11" s="7">
        <f>IF(OR($A11="",$F11=""),"",$F11&amp;"|"&amp;$C11)</f>
        <v/>
      </c>
      <c r="I11" s="7">
        <f>IF($H11="","",COUNTIF($H$4:$H11,$H11))</f>
        <v/>
      </c>
      <c r="J11" s="7">
        <f>IF($H11="","",$H11&amp;"|"&amp;$I11)</f>
        <v/>
      </c>
    </row>
    <row r="12">
      <c r="A12" s="8" t="n"/>
      <c r="B12" s="2">
        <f>IF($A12="","",IFERROR(INDEX(Listone!$B$2:$B$532,MATCH($A12,Listone!$A$2:$A$532,0)),"?"))</f>
        <v/>
      </c>
      <c r="C12" s="2">
        <f>IF($A12="","",IFERROR(INDEX(Listone!$C$2:$C$532,MATCH($A12,Listone!$A$2:$A$532,0)),""))</f>
        <v/>
      </c>
      <c r="D12" s="2">
        <f>IF($A12="","",IFERROR(INDEX(Listone!$D$2:$D$532,MATCH($A12,Listone!$A$2:$A$532,0)),""))</f>
        <v/>
      </c>
      <c r="E12" s="2">
        <f>IF($A12="","",IFERROR(INDEX(Listone!$G$2:$G$532,MATCH($A12,Listone!$A$2:$A$532,0)),""))</f>
        <v/>
      </c>
      <c r="F12" s="8" t="n"/>
      <c r="G12" s="8" t="n"/>
      <c r="H12" s="7">
        <f>IF(OR($A12="",$F12=""),"",$F12&amp;"|"&amp;$C12)</f>
        <v/>
      </c>
      <c r="I12" s="7">
        <f>IF($H12="","",COUNTIF($H$4:$H12,$H12))</f>
        <v/>
      </c>
      <c r="J12" s="7">
        <f>IF($H12="","",$H12&amp;"|"&amp;$I12)</f>
        <v/>
      </c>
    </row>
    <row r="13">
      <c r="A13" s="8" t="n"/>
      <c r="B13" s="2">
        <f>IF($A13="","",IFERROR(INDEX(Listone!$B$2:$B$532,MATCH($A13,Listone!$A$2:$A$532,0)),"?"))</f>
        <v/>
      </c>
      <c r="C13" s="2">
        <f>IF($A13="","",IFERROR(INDEX(Listone!$C$2:$C$532,MATCH($A13,Listone!$A$2:$A$532,0)),""))</f>
        <v/>
      </c>
      <c r="D13" s="2">
        <f>IF($A13="","",IFERROR(INDEX(Listone!$D$2:$D$532,MATCH($A13,Listone!$A$2:$A$532,0)),""))</f>
        <v/>
      </c>
      <c r="E13" s="2">
        <f>IF($A13="","",IFERROR(INDEX(Listone!$G$2:$G$532,MATCH($A13,Listone!$A$2:$A$532,0)),""))</f>
        <v/>
      </c>
      <c r="F13" s="8" t="n"/>
      <c r="G13" s="8" t="n"/>
      <c r="H13" s="7">
        <f>IF(OR($A13="",$F13=""),"",$F13&amp;"|"&amp;$C13)</f>
        <v/>
      </c>
      <c r="I13" s="7">
        <f>IF($H13="","",COUNTIF($H$4:$H13,$H13))</f>
        <v/>
      </c>
      <c r="J13" s="7">
        <f>IF($H13="","",$H13&amp;"|"&amp;$I13)</f>
        <v/>
      </c>
    </row>
    <row r="14">
      <c r="A14" s="8" t="n"/>
      <c r="B14" s="2">
        <f>IF($A14="","",IFERROR(INDEX(Listone!$B$2:$B$532,MATCH($A14,Listone!$A$2:$A$532,0)),"?"))</f>
        <v/>
      </c>
      <c r="C14" s="2">
        <f>IF($A14="","",IFERROR(INDEX(Listone!$C$2:$C$532,MATCH($A14,Listone!$A$2:$A$532,0)),""))</f>
        <v/>
      </c>
      <c r="D14" s="2">
        <f>IF($A14="","",IFERROR(INDEX(Listone!$D$2:$D$532,MATCH($A14,Listone!$A$2:$A$532,0)),""))</f>
        <v/>
      </c>
      <c r="E14" s="2">
        <f>IF($A14="","",IFERROR(INDEX(Listone!$G$2:$G$532,MATCH($A14,Listone!$A$2:$A$532,0)),""))</f>
        <v/>
      </c>
      <c r="F14" s="8" t="n"/>
      <c r="G14" s="8" t="n"/>
      <c r="H14" s="7">
        <f>IF(OR($A14="",$F14=""),"",$F14&amp;"|"&amp;$C14)</f>
        <v/>
      </c>
      <c r="I14" s="7">
        <f>IF($H14="","",COUNTIF($H$4:$H14,$H14))</f>
        <v/>
      </c>
      <c r="J14" s="7">
        <f>IF($H14="","",$H14&amp;"|"&amp;$I14)</f>
        <v/>
      </c>
    </row>
    <row r="15">
      <c r="A15" s="8" t="n"/>
      <c r="B15" s="2">
        <f>IF($A15="","",IFERROR(INDEX(Listone!$B$2:$B$532,MATCH($A15,Listone!$A$2:$A$532,0)),"?"))</f>
        <v/>
      </c>
      <c r="C15" s="2">
        <f>IF($A15="","",IFERROR(INDEX(Listone!$C$2:$C$532,MATCH($A15,Listone!$A$2:$A$532,0)),""))</f>
        <v/>
      </c>
      <c r="D15" s="2">
        <f>IF($A15="","",IFERROR(INDEX(Listone!$D$2:$D$532,MATCH($A15,Listone!$A$2:$A$532,0)),""))</f>
        <v/>
      </c>
      <c r="E15" s="2">
        <f>IF($A15="","",IFERROR(INDEX(Listone!$G$2:$G$532,MATCH($A15,Listone!$A$2:$A$532,0)),""))</f>
        <v/>
      </c>
      <c r="F15" s="8" t="n"/>
      <c r="G15" s="8" t="n"/>
      <c r="H15" s="7">
        <f>IF(OR($A15="",$F15=""),"",$F15&amp;"|"&amp;$C15)</f>
        <v/>
      </c>
      <c r="I15" s="7">
        <f>IF($H15="","",COUNTIF($H$4:$H15,$H15))</f>
        <v/>
      </c>
      <c r="J15" s="7">
        <f>IF($H15="","",$H15&amp;"|"&amp;$I15)</f>
        <v/>
      </c>
    </row>
    <row r="16">
      <c r="A16" s="8" t="n"/>
      <c r="B16" s="2">
        <f>IF($A16="","",IFERROR(INDEX(Listone!$B$2:$B$532,MATCH($A16,Listone!$A$2:$A$532,0)),"?"))</f>
        <v/>
      </c>
      <c r="C16" s="2">
        <f>IF($A16="","",IFERROR(INDEX(Listone!$C$2:$C$532,MATCH($A16,Listone!$A$2:$A$532,0)),""))</f>
        <v/>
      </c>
      <c r="D16" s="2">
        <f>IF($A16="","",IFERROR(INDEX(Listone!$D$2:$D$532,MATCH($A16,Listone!$A$2:$A$532,0)),""))</f>
        <v/>
      </c>
      <c r="E16" s="2">
        <f>IF($A16="","",IFERROR(INDEX(Listone!$G$2:$G$532,MATCH($A16,Listone!$A$2:$A$532,0)),""))</f>
        <v/>
      </c>
      <c r="F16" s="8" t="n"/>
      <c r="G16" s="8" t="n"/>
      <c r="H16" s="7">
        <f>IF(OR($A16="",$F16=""),"",$F16&amp;"|"&amp;$C16)</f>
        <v/>
      </c>
      <c r="I16" s="7">
        <f>IF($H16="","",COUNTIF($H$4:$H16,$H16))</f>
        <v/>
      </c>
      <c r="J16" s="7">
        <f>IF($H16="","",$H16&amp;"|"&amp;$I16)</f>
        <v/>
      </c>
    </row>
    <row r="17">
      <c r="A17" s="8" t="n"/>
      <c r="B17" s="2">
        <f>IF($A17="","",IFERROR(INDEX(Listone!$B$2:$B$532,MATCH($A17,Listone!$A$2:$A$532,0)),"?"))</f>
        <v/>
      </c>
      <c r="C17" s="2">
        <f>IF($A17="","",IFERROR(INDEX(Listone!$C$2:$C$532,MATCH($A17,Listone!$A$2:$A$532,0)),""))</f>
        <v/>
      </c>
      <c r="D17" s="2">
        <f>IF($A17="","",IFERROR(INDEX(Listone!$D$2:$D$532,MATCH($A17,Listone!$A$2:$A$532,0)),""))</f>
        <v/>
      </c>
      <c r="E17" s="2">
        <f>IF($A17="","",IFERROR(INDEX(Listone!$G$2:$G$532,MATCH($A17,Listone!$A$2:$A$532,0)),""))</f>
        <v/>
      </c>
      <c r="F17" s="8" t="n"/>
      <c r="G17" s="8" t="n"/>
      <c r="H17" s="7">
        <f>IF(OR($A17="",$F17=""),"",$F17&amp;"|"&amp;$C17)</f>
        <v/>
      </c>
      <c r="I17" s="7">
        <f>IF($H17="","",COUNTIF($H$4:$H17,$H17))</f>
        <v/>
      </c>
      <c r="J17" s="7">
        <f>IF($H17="","",$H17&amp;"|"&amp;$I17)</f>
        <v/>
      </c>
    </row>
    <row r="18">
      <c r="A18" s="8" t="n"/>
      <c r="B18" s="2">
        <f>IF($A18="","",IFERROR(INDEX(Listone!$B$2:$B$532,MATCH($A18,Listone!$A$2:$A$532,0)),"?"))</f>
        <v/>
      </c>
      <c r="C18" s="2">
        <f>IF($A18="","",IFERROR(INDEX(Listone!$C$2:$C$532,MATCH($A18,Listone!$A$2:$A$532,0)),""))</f>
        <v/>
      </c>
      <c r="D18" s="2">
        <f>IF($A18="","",IFERROR(INDEX(Listone!$D$2:$D$532,MATCH($A18,Listone!$A$2:$A$532,0)),""))</f>
        <v/>
      </c>
      <c r="E18" s="2">
        <f>IF($A18="","",IFERROR(INDEX(Listone!$G$2:$G$532,MATCH($A18,Listone!$A$2:$A$532,0)),""))</f>
        <v/>
      </c>
      <c r="F18" s="8" t="n"/>
      <c r="G18" s="8" t="n"/>
      <c r="H18" s="7">
        <f>IF(OR($A18="",$F18=""),"",$F18&amp;"|"&amp;$C18)</f>
        <v/>
      </c>
      <c r="I18" s="7">
        <f>IF($H18="","",COUNTIF($H$4:$H18,$H18))</f>
        <v/>
      </c>
      <c r="J18" s="7">
        <f>IF($H18="","",$H18&amp;"|"&amp;$I18)</f>
        <v/>
      </c>
    </row>
    <row r="19">
      <c r="A19" s="8" t="n"/>
      <c r="B19" s="2">
        <f>IF($A19="","",IFERROR(INDEX(Listone!$B$2:$B$532,MATCH($A19,Listone!$A$2:$A$532,0)),"?"))</f>
        <v/>
      </c>
      <c r="C19" s="2">
        <f>IF($A19="","",IFERROR(INDEX(Listone!$C$2:$C$532,MATCH($A19,Listone!$A$2:$A$532,0)),""))</f>
        <v/>
      </c>
      <c r="D19" s="2">
        <f>IF($A19="","",IFERROR(INDEX(Listone!$D$2:$D$532,MATCH($A19,Listone!$A$2:$A$532,0)),""))</f>
        <v/>
      </c>
      <c r="E19" s="2">
        <f>IF($A19="","",IFERROR(INDEX(Listone!$G$2:$G$532,MATCH($A19,Listone!$A$2:$A$532,0)),""))</f>
        <v/>
      </c>
      <c r="F19" s="8" t="n"/>
      <c r="G19" s="8" t="n"/>
      <c r="H19" s="7">
        <f>IF(OR($A19="",$F19=""),"",$F19&amp;"|"&amp;$C19)</f>
        <v/>
      </c>
      <c r="I19" s="7">
        <f>IF($H19="","",COUNTIF($H$4:$H19,$H19))</f>
        <v/>
      </c>
      <c r="J19" s="7">
        <f>IF($H19="","",$H19&amp;"|"&amp;$I19)</f>
        <v/>
      </c>
    </row>
    <row r="20">
      <c r="A20" s="8" t="n"/>
      <c r="B20" s="2">
        <f>IF($A20="","",IFERROR(INDEX(Listone!$B$2:$B$532,MATCH($A20,Listone!$A$2:$A$532,0)),"?"))</f>
        <v/>
      </c>
      <c r="C20" s="2">
        <f>IF($A20="","",IFERROR(INDEX(Listone!$C$2:$C$532,MATCH($A20,Listone!$A$2:$A$532,0)),""))</f>
        <v/>
      </c>
      <c r="D20" s="2">
        <f>IF($A20="","",IFERROR(INDEX(Listone!$D$2:$D$532,MATCH($A20,Listone!$A$2:$A$532,0)),""))</f>
        <v/>
      </c>
      <c r="E20" s="2">
        <f>IF($A20="","",IFERROR(INDEX(Listone!$G$2:$G$532,MATCH($A20,Listone!$A$2:$A$532,0)),""))</f>
        <v/>
      </c>
      <c r="F20" s="8" t="n"/>
      <c r="G20" s="8" t="n"/>
      <c r="H20" s="7">
        <f>IF(OR($A20="",$F20=""),"",$F20&amp;"|"&amp;$C20)</f>
        <v/>
      </c>
      <c r="I20" s="7">
        <f>IF($H20="","",COUNTIF($H$4:$H20,$H20))</f>
        <v/>
      </c>
      <c r="J20" s="7">
        <f>IF($H20="","",$H20&amp;"|"&amp;$I20)</f>
        <v/>
      </c>
    </row>
    <row r="21">
      <c r="A21" s="8" t="n"/>
      <c r="B21" s="2">
        <f>IF($A21="","",IFERROR(INDEX(Listone!$B$2:$B$532,MATCH($A21,Listone!$A$2:$A$532,0)),"?"))</f>
        <v/>
      </c>
      <c r="C21" s="2">
        <f>IF($A21="","",IFERROR(INDEX(Listone!$C$2:$C$532,MATCH($A21,Listone!$A$2:$A$532,0)),""))</f>
        <v/>
      </c>
      <c r="D21" s="2">
        <f>IF($A21="","",IFERROR(INDEX(Listone!$D$2:$D$532,MATCH($A21,Listone!$A$2:$A$532,0)),""))</f>
        <v/>
      </c>
      <c r="E21" s="2">
        <f>IF($A21="","",IFERROR(INDEX(Listone!$G$2:$G$532,MATCH($A21,Listone!$A$2:$A$532,0)),""))</f>
        <v/>
      </c>
      <c r="F21" s="8" t="n"/>
      <c r="G21" s="8" t="n"/>
      <c r="H21" s="7">
        <f>IF(OR($A21="",$F21=""),"",$F21&amp;"|"&amp;$C21)</f>
        <v/>
      </c>
      <c r="I21" s="7">
        <f>IF($H21="","",COUNTIF($H$4:$H21,$H21))</f>
        <v/>
      </c>
      <c r="J21" s="7">
        <f>IF($H21="","",$H21&amp;"|"&amp;$I21)</f>
        <v/>
      </c>
    </row>
    <row r="22">
      <c r="A22" s="8" t="n"/>
      <c r="B22" s="2">
        <f>IF($A22="","",IFERROR(INDEX(Listone!$B$2:$B$532,MATCH($A22,Listone!$A$2:$A$532,0)),"?"))</f>
        <v/>
      </c>
      <c r="C22" s="2">
        <f>IF($A22="","",IFERROR(INDEX(Listone!$C$2:$C$532,MATCH($A22,Listone!$A$2:$A$532,0)),""))</f>
        <v/>
      </c>
      <c r="D22" s="2">
        <f>IF($A22="","",IFERROR(INDEX(Listone!$D$2:$D$532,MATCH($A22,Listone!$A$2:$A$532,0)),""))</f>
        <v/>
      </c>
      <c r="E22" s="2">
        <f>IF($A22="","",IFERROR(INDEX(Listone!$G$2:$G$532,MATCH($A22,Listone!$A$2:$A$532,0)),""))</f>
        <v/>
      </c>
      <c r="F22" s="8" t="n"/>
      <c r="G22" s="8" t="n"/>
      <c r="H22" s="7">
        <f>IF(OR($A22="",$F22=""),"",$F22&amp;"|"&amp;$C22)</f>
        <v/>
      </c>
      <c r="I22" s="7">
        <f>IF($H22="","",COUNTIF($H$4:$H22,$H22))</f>
        <v/>
      </c>
      <c r="J22" s="7">
        <f>IF($H22="","",$H22&amp;"|"&amp;$I22)</f>
        <v/>
      </c>
    </row>
    <row r="23">
      <c r="A23" s="8" t="n"/>
      <c r="B23" s="2">
        <f>IF($A23="","",IFERROR(INDEX(Listone!$B$2:$B$532,MATCH($A23,Listone!$A$2:$A$532,0)),"?"))</f>
        <v/>
      </c>
      <c r="C23" s="2">
        <f>IF($A23="","",IFERROR(INDEX(Listone!$C$2:$C$532,MATCH($A23,Listone!$A$2:$A$532,0)),""))</f>
        <v/>
      </c>
      <c r="D23" s="2">
        <f>IF($A23="","",IFERROR(INDEX(Listone!$D$2:$D$532,MATCH($A23,Listone!$A$2:$A$532,0)),""))</f>
        <v/>
      </c>
      <c r="E23" s="2">
        <f>IF($A23="","",IFERROR(INDEX(Listone!$G$2:$G$532,MATCH($A23,Listone!$A$2:$A$532,0)),""))</f>
        <v/>
      </c>
      <c r="F23" s="8" t="n"/>
      <c r="G23" s="8" t="n"/>
      <c r="H23" s="7">
        <f>IF(OR($A23="",$F23=""),"",$F23&amp;"|"&amp;$C23)</f>
        <v/>
      </c>
      <c r="I23" s="7">
        <f>IF($H23="","",COUNTIF($H$4:$H23,$H23))</f>
        <v/>
      </c>
      <c r="J23" s="7">
        <f>IF($H23="","",$H23&amp;"|"&amp;$I23)</f>
        <v/>
      </c>
    </row>
    <row r="24">
      <c r="A24" s="8" t="n"/>
      <c r="B24" s="2">
        <f>IF($A24="","",IFERROR(INDEX(Listone!$B$2:$B$532,MATCH($A24,Listone!$A$2:$A$532,0)),"?"))</f>
        <v/>
      </c>
      <c r="C24" s="2">
        <f>IF($A24="","",IFERROR(INDEX(Listone!$C$2:$C$532,MATCH($A24,Listone!$A$2:$A$532,0)),""))</f>
        <v/>
      </c>
      <c r="D24" s="2">
        <f>IF($A24="","",IFERROR(INDEX(Listone!$D$2:$D$532,MATCH($A24,Listone!$A$2:$A$532,0)),""))</f>
        <v/>
      </c>
      <c r="E24" s="2">
        <f>IF($A24="","",IFERROR(INDEX(Listone!$G$2:$G$532,MATCH($A24,Listone!$A$2:$A$532,0)),""))</f>
        <v/>
      </c>
      <c r="F24" s="8" t="n"/>
      <c r="G24" s="8" t="n"/>
      <c r="H24" s="7">
        <f>IF(OR($A24="",$F24=""),"",$F24&amp;"|"&amp;$C24)</f>
        <v/>
      </c>
      <c r="I24" s="7">
        <f>IF($H24="","",COUNTIF($H$4:$H24,$H24))</f>
        <v/>
      </c>
      <c r="J24" s="7">
        <f>IF($H24="","",$H24&amp;"|"&amp;$I24)</f>
        <v/>
      </c>
    </row>
    <row r="25">
      <c r="A25" s="8" t="n"/>
      <c r="B25" s="2">
        <f>IF($A25="","",IFERROR(INDEX(Listone!$B$2:$B$532,MATCH($A25,Listone!$A$2:$A$532,0)),"?"))</f>
        <v/>
      </c>
      <c r="C25" s="2">
        <f>IF($A25="","",IFERROR(INDEX(Listone!$C$2:$C$532,MATCH($A25,Listone!$A$2:$A$532,0)),""))</f>
        <v/>
      </c>
      <c r="D25" s="2">
        <f>IF($A25="","",IFERROR(INDEX(Listone!$D$2:$D$532,MATCH($A25,Listone!$A$2:$A$532,0)),""))</f>
        <v/>
      </c>
      <c r="E25" s="2">
        <f>IF($A25="","",IFERROR(INDEX(Listone!$G$2:$G$532,MATCH($A25,Listone!$A$2:$A$532,0)),""))</f>
        <v/>
      </c>
      <c r="F25" s="8" t="n"/>
      <c r="G25" s="8" t="n"/>
      <c r="H25" s="7">
        <f>IF(OR($A25="",$F25=""),"",$F25&amp;"|"&amp;$C25)</f>
        <v/>
      </c>
      <c r="I25" s="7">
        <f>IF($H25="","",COUNTIF($H$4:$H25,$H25))</f>
        <v/>
      </c>
      <c r="J25" s="7">
        <f>IF($H25="","",$H25&amp;"|"&amp;$I25)</f>
        <v/>
      </c>
    </row>
    <row r="26">
      <c r="A26" s="8" t="n"/>
      <c r="B26" s="2">
        <f>IF($A26="","",IFERROR(INDEX(Listone!$B$2:$B$532,MATCH($A26,Listone!$A$2:$A$532,0)),"?"))</f>
        <v/>
      </c>
      <c r="C26" s="2">
        <f>IF($A26="","",IFERROR(INDEX(Listone!$C$2:$C$532,MATCH($A26,Listone!$A$2:$A$532,0)),""))</f>
        <v/>
      </c>
      <c r="D26" s="2">
        <f>IF($A26="","",IFERROR(INDEX(Listone!$D$2:$D$532,MATCH($A26,Listone!$A$2:$A$532,0)),""))</f>
        <v/>
      </c>
      <c r="E26" s="2">
        <f>IF($A26="","",IFERROR(INDEX(Listone!$G$2:$G$532,MATCH($A26,Listone!$A$2:$A$532,0)),""))</f>
        <v/>
      </c>
      <c r="F26" s="8" t="n"/>
      <c r="G26" s="8" t="n"/>
      <c r="H26" s="7">
        <f>IF(OR($A26="",$F26=""),"",$F26&amp;"|"&amp;$C26)</f>
        <v/>
      </c>
      <c r="I26" s="7">
        <f>IF($H26="","",COUNTIF($H$4:$H26,$H26))</f>
        <v/>
      </c>
      <c r="J26" s="7">
        <f>IF($H26="","",$H26&amp;"|"&amp;$I26)</f>
        <v/>
      </c>
    </row>
    <row r="27">
      <c r="A27" s="8" t="n"/>
      <c r="B27" s="2">
        <f>IF($A27="","",IFERROR(INDEX(Listone!$B$2:$B$532,MATCH($A27,Listone!$A$2:$A$532,0)),"?"))</f>
        <v/>
      </c>
      <c r="C27" s="2">
        <f>IF($A27="","",IFERROR(INDEX(Listone!$C$2:$C$532,MATCH($A27,Listone!$A$2:$A$532,0)),""))</f>
        <v/>
      </c>
      <c r="D27" s="2">
        <f>IF($A27="","",IFERROR(INDEX(Listone!$D$2:$D$532,MATCH($A27,Listone!$A$2:$A$532,0)),""))</f>
        <v/>
      </c>
      <c r="E27" s="2">
        <f>IF($A27="","",IFERROR(INDEX(Listone!$G$2:$G$532,MATCH($A27,Listone!$A$2:$A$532,0)),""))</f>
        <v/>
      </c>
      <c r="F27" s="8" t="n"/>
      <c r="G27" s="8" t="n"/>
      <c r="H27" s="7">
        <f>IF(OR($A27="",$F27=""),"",$F27&amp;"|"&amp;$C27)</f>
        <v/>
      </c>
      <c r="I27" s="7">
        <f>IF($H27="","",COUNTIF($H$4:$H27,$H27))</f>
        <v/>
      </c>
      <c r="J27" s="7">
        <f>IF($H27="","",$H27&amp;"|"&amp;$I27)</f>
        <v/>
      </c>
    </row>
    <row r="28">
      <c r="A28" s="8" t="n"/>
      <c r="B28" s="2">
        <f>IF($A28="","",IFERROR(INDEX(Listone!$B$2:$B$532,MATCH($A28,Listone!$A$2:$A$532,0)),"?"))</f>
        <v/>
      </c>
      <c r="C28" s="2">
        <f>IF($A28="","",IFERROR(INDEX(Listone!$C$2:$C$532,MATCH($A28,Listone!$A$2:$A$532,0)),""))</f>
        <v/>
      </c>
      <c r="D28" s="2">
        <f>IF($A28="","",IFERROR(INDEX(Listone!$D$2:$D$532,MATCH($A28,Listone!$A$2:$A$532,0)),""))</f>
        <v/>
      </c>
      <c r="E28" s="2">
        <f>IF($A28="","",IFERROR(INDEX(Listone!$G$2:$G$532,MATCH($A28,Listone!$A$2:$A$532,0)),""))</f>
        <v/>
      </c>
      <c r="F28" s="8" t="n"/>
      <c r="G28" s="8" t="n"/>
      <c r="H28" s="7">
        <f>IF(OR($A28="",$F28=""),"",$F28&amp;"|"&amp;$C28)</f>
        <v/>
      </c>
      <c r="I28" s="7">
        <f>IF($H28="","",COUNTIF($H$4:$H28,$H28))</f>
        <v/>
      </c>
      <c r="J28" s="7">
        <f>IF($H28="","",$H28&amp;"|"&amp;$I28)</f>
        <v/>
      </c>
    </row>
    <row r="29">
      <c r="A29" s="8" t="n"/>
      <c r="B29" s="2">
        <f>IF($A29="","",IFERROR(INDEX(Listone!$B$2:$B$532,MATCH($A29,Listone!$A$2:$A$532,0)),"?"))</f>
        <v/>
      </c>
      <c r="C29" s="2">
        <f>IF($A29="","",IFERROR(INDEX(Listone!$C$2:$C$532,MATCH($A29,Listone!$A$2:$A$532,0)),""))</f>
        <v/>
      </c>
      <c r="D29" s="2">
        <f>IF($A29="","",IFERROR(INDEX(Listone!$D$2:$D$532,MATCH($A29,Listone!$A$2:$A$532,0)),""))</f>
        <v/>
      </c>
      <c r="E29" s="2">
        <f>IF($A29="","",IFERROR(INDEX(Listone!$G$2:$G$532,MATCH($A29,Listone!$A$2:$A$532,0)),""))</f>
        <v/>
      </c>
      <c r="F29" s="8" t="n"/>
      <c r="G29" s="8" t="n"/>
      <c r="H29" s="7">
        <f>IF(OR($A29="",$F29=""),"",$F29&amp;"|"&amp;$C29)</f>
        <v/>
      </c>
      <c r="I29" s="7">
        <f>IF($H29="","",COUNTIF($H$4:$H29,$H29))</f>
        <v/>
      </c>
      <c r="J29" s="7">
        <f>IF($H29="","",$H29&amp;"|"&amp;$I29)</f>
        <v/>
      </c>
    </row>
    <row r="30">
      <c r="A30" s="8" t="n"/>
      <c r="B30" s="2">
        <f>IF($A30="","",IFERROR(INDEX(Listone!$B$2:$B$532,MATCH($A30,Listone!$A$2:$A$532,0)),"?"))</f>
        <v/>
      </c>
      <c r="C30" s="2">
        <f>IF($A30="","",IFERROR(INDEX(Listone!$C$2:$C$532,MATCH($A30,Listone!$A$2:$A$532,0)),""))</f>
        <v/>
      </c>
      <c r="D30" s="2">
        <f>IF($A30="","",IFERROR(INDEX(Listone!$D$2:$D$532,MATCH($A30,Listone!$A$2:$A$532,0)),""))</f>
        <v/>
      </c>
      <c r="E30" s="2">
        <f>IF($A30="","",IFERROR(INDEX(Listone!$G$2:$G$532,MATCH($A30,Listone!$A$2:$A$532,0)),""))</f>
        <v/>
      </c>
      <c r="F30" s="8" t="n"/>
      <c r="G30" s="8" t="n"/>
      <c r="H30" s="7">
        <f>IF(OR($A30="",$F30=""),"",$F30&amp;"|"&amp;$C30)</f>
        <v/>
      </c>
      <c r="I30" s="7">
        <f>IF($H30="","",COUNTIF($H$4:$H30,$H30))</f>
        <v/>
      </c>
      <c r="J30" s="7">
        <f>IF($H30="","",$H30&amp;"|"&amp;$I30)</f>
        <v/>
      </c>
    </row>
    <row r="31">
      <c r="A31" s="8" t="n"/>
      <c r="B31" s="2">
        <f>IF($A31="","",IFERROR(INDEX(Listone!$B$2:$B$532,MATCH($A31,Listone!$A$2:$A$532,0)),"?"))</f>
        <v/>
      </c>
      <c r="C31" s="2">
        <f>IF($A31="","",IFERROR(INDEX(Listone!$C$2:$C$532,MATCH($A31,Listone!$A$2:$A$532,0)),""))</f>
        <v/>
      </c>
      <c r="D31" s="2">
        <f>IF($A31="","",IFERROR(INDEX(Listone!$D$2:$D$532,MATCH($A31,Listone!$A$2:$A$532,0)),""))</f>
        <v/>
      </c>
      <c r="E31" s="2">
        <f>IF($A31="","",IFERROR(INDEX(Listone!$G$2:$G$532,MATCH($A31,Listone!$A$2:$A$532,0)),""))</f>
        <v/>
      </c>
      <c r="F31" s="8" t="n"/>
      <c r="G31" s="8" t="n"/>
      <c r="H31" s="7">
        <f>IF(OR($A31="",$F31=""),"",$F31&amp;"|"&amp;$C31)</f>
        <v/>
      </c>
      <c r="I31" s="7">
        <f>IF($H31="","",COUNTIF($H$4:$H31,$H31))</f>
        <v/>
      </c>
      <c r="J31" s="7">
        <f>IF($H31="","",$H31&amp;"|"&amp;$I31)</f>
        <v/>
      </c>
    </row>
    <row r="32">
      <c r="A32" s="8" t="n"/>
      <c r="B32" s="2">
        <f>IF($A32="","",IFERROR(INDEX(Listone!$B$2:$B$532,MATCH($A32,Listone!$A$2:$A$532,0)),"?"))</f>
        <v/>
      </c>
      <c r="C32" s="2">
        <f>IF($A32="","",IFERROR(INDEX(Listone!$C$2:$C$532,MATCH($A32,Listone!$A$2:$A$532,0)),""))</f>
        <v/>
      </c>
      <c r="D32" s="2">
        <f>IF($A32="","",IFERROR(INDEX(Listone!$D$2:$D$532,MATCH($A32,Listone!$A$2:$A$532,0)),""))</f>
        <v/>
      </c>
      <c r="E32" s="2">
        <f>IF($A32="","",IFERROR(INDEX(Listone!$G$2:$G$532,MATCH($A32,Listone!$A$2:$A$532,0)),""))</f>
        <v/>
      </c>
      <c r="F32" s="8" t="n"/>
      <c r="G32" s="8" t="n"/>
      <c r="H32" s="7">
        <f>IF(OR($A32="",$F32=""),"",$F32&amp;"|"&amp;$C32)</f>
        <v/>
      </c>
      <c r="I32" s="7">
        <f>IF($H32="","",COUNTIF($H$4:$H32,$H32))</f>
        <v/>
      </c>
      <c r="J32" s="7">
        <f>IF($H32="","",$H32&amp;"|"&amp;$I32)</f>
        <v/>
      </c>
    </row>
    <row r="33">
      <c r="A33" s="8" t="n"/>
      <c r="B33" s="2">
        <f>IF($A33="","",IFERROR(INDEX(Listone!$B$2:$B$532,MATCH($A33,Listone!$A$2:$A$532,0)),"?"))</f>
        <v/>
      </c>
      <c r="C33" s="2">
        <f>IF($A33="","",IFERROR(INDEX(Listone!$C$2:$C$532,MATCH($A33,Listone!$A$2:$A$532,0)),""))</f>
        <v/>
      </c>
      <c r="D33" s="2">
        <f>IF($A33="","",IFERROR(INDEX(Listone!$D$2:$D$532,MATCH($A33,Listone!$A$2:$A$532,0)),""))</f>
        <v/>
      </c>
      <c r="E33" s="2">
        <f>IF($A33="","",IFERROR(INDEX(Listone!$G$2:$G$532,MATCH($A33,Listone!$A$2:$A$532,0)),""))</f>
        <v/>
      </c>
      <c r="F33" s="8" t="n"/>
      <c r="G33" s="8" t="n"/>
      <c r="H33" s="7">
        <f>IF(OR($A33="",$F33=""),"",$F33&amp;"|"&amp;$C33)</f>
        <v/>
      </c>
      <c r="I33" s="7">
        <f>IF($H33="","",COUNTIF($H$4:$H33,$H33))</f>
        <v/>
      </c>
      <c r="J33" s="7">
        <f>IF($H33="","",$H33&amp;"|"&amp;$I33)</f>
        <v/>
      </c>
    </row>
    <row r="34">
      <c r="A34" s="8" t="n"/>
      <c r="B34" s="2">
        <f>IF($A34="","",IFERROR(INDEX(Listone!$B$2:$B$532,MATCH($A34,Listone!$A$2:$A$532,0)),"?"))</f>
        <v/>
      </c>
      <c r="C34" s="2">
        <f>IF($A34="","",IFERROR(INDEX(Listone!$C$2:$C$532,MATCH($A34,Listone!$A$2:$A$532,0)),""))</f>
        <v/>
      </c>
      <c r="D34" s="2">
        <f>IF($A34="","",IFERROR(INDEX(Listone!$D$2:$D$532,MATCH($A34,Listone!$A$2:$A$532,0)),""))</f>
        <v/>
      </c>
      <c r="E34" s="2">
        <f>IF($A34="","",IFERROR(INDEX(Listone!$G$2:$G$532,MATCH($A34,Listone!$A$2:$A$532,0)),""))</f>
        <v/>
      </c>
      <c r="F34" s="8" t="n"/>
      <c r="G34" s="8" t="n"/>
      <c r="H34" s="7">
        <f>IF(OR($A34="",$F34=""),"",$F34&amp;"|"&amp;$C34)</f>
        <v/>
      </c>
      <c r="I34" s="7">
        <f>IF($H34="","",COUNTIF($H$4:$H34,$H34))</f>
        <v/>
      </c>
      <c r="J34" s="7">
        <f>IF($H34="","",$H34&amp;"|"&amp;$I34)</f>
        <v/>
      </c>
    </row>
    <row r="35">
      <c r="A35" s="8" t="n"/>
      <c r="B35" s="2">
        <f>IF($A35="","",IFERROR(INDEX(Listone!$B$2:$B$532,MATCH($A35,Listone!$A$2:$A$532,0)),"?"))</f>
        <v/>
      </c>
      <c r="C35" s="2">
        <f>IF($A35="","",IFERROR(INDEX(Listone!$C$2:$C$532,MATCH($A35,Listone!$A$2:$A$532,0)),""))</f>
        <v/>
      </c>
      <c r="D35" s="2">
        <f>IF($A35="","",IFERROR(INDEX(Listone!$D$2:$D$532,MATCH($A35,Listone!$A$2:$A$532,0)),""))</f>
        <v/>
      </c>
      <c r="E35" s="2">
        <f>IF($A35="","",IFERROR(INDEX(Listone!$G$2:$G$532,MATCH($A35,Listone!$A$2:$A$532,0)),""))</f>
        <v/>
      </c>
      <c r="F35" s="8" t="n"/>
      <c r="G35" s="8" t="n"/>
      <c r="H35" s="7">
        <f>IF(OR($A35="",$F35=""),"",$F35&amp;"|"&amp;$C35)</f>
        <v/>
      </c>
      <c r="I35" s="7">
        <f>IF($H35="","",COUNTIF($H$4:$H35,$H35))</f>
        <v/>
      </c>
      <c r="J35" s="7">
        <f>IF($H35="","",$H35&amp;"|"&amp;$I35)</f>
        <v/>
      </c>
    </row>
    <row r="36">
      <c r="A36" s="8" t="n"/>
      <c r="B36" s="2">
        <f>IF($A36="","",IFERROR(INDEX(Listone!$B$2:$B$532,MATCH($A36,Listone!$A$2:$A$532,0)),"?"))</f>
        <v/>
      </c>
      <c r="C36" s="2">
        <f>IF($A36="","",IFERROR(INDEX(Listone!$C$2:$C$532,MATCH($A36,Listone!$A$2:$A$532,0)),""))</f>
        <v/>
      </c>
      <c r="D36" s="2">
        <f>IF($A36="","",IFERROR(INDEX(Listone!$D$2:$D$532,MATCH($A36,Listone!$A$2:$A$532,0)),""))</f>
        <v/>
      </c>
      <c r="E36" s="2">
        <f>IF($A36="","",IFERROR(INDEX(Listone!$G$2:$G$532,MATCH($A36,Listone!$A$2:$A$532,0)),""))</f>
        <v/>
      </c>
      <c r="F36" s="8" t="n"/>
      <c r="G36" s="8" t="n"/>
      <c r="H36" s="7">
        <f>IF(OR($A36="",$F36=""),"",$F36&amp;"|"&amp;$C36)</f>
        <v/>
      </c>
      <c r="I36" s="7">
        <f>IF($H36="","",COUNTIF($H$4:$H36,$H36))</f>
        <v/>
      </c>
      <c r="J36" s="7">
        <f>IF($H36="","",$H36&amp;"|"&amp;$I36)</f>
        <v/>
      </c>
    </row>
    <row r="37">
      <c r="A37" s="8" t="n"/>
      <c r="B37" s="2">
        <f>IF($A37="","",IFERROR(INDEX(Listone!$B$2:$B$532,MATCH($A37,Listone!$A$2:$A$532,0)),"?"))</f>
        <v/>
      </c>
      <c r="C37" s="2">
        <f>IF($A37="","",IFERROR(INDEX(Listone!$C$2:$C$532,MATCH($A37,Listone!$A$2:$A$532,0)),""))</f>
        <v/>
      </c>
      <c r="D37" s="2">
        <f>IF($A37="","",IFERROR(INDEX(Listone!$D$2:$D$532,MATCH($A37,Listone!$A$2:$A$532,0)),""))</f>
        <v/>
      </c>
      <c r="E37" s="2">
        <f>IF($A37="","",IFERROR(INDEX(Listone!$G$2:$G$532,MATCH($A37,Listone!$A$2:$A$532,0)),""))</f>
        <v/>
      </c>
      <c r="F37" s="8" t="n"/>
      <c r="G37" s="8" t="n"/>
      <c r="H37" s="7">
        <f>IF(OR($A37="",$F37=""),"",$F37&amp;"|"&amp;$C37)</f>
        <v/>
      </c>
      <c r="I37" s="7">
        <f>IF($H37="","",COUNTIF($H$4:$H37,$H37))</f>
        <v/>
      </c>
      <c r="J37" s="7">
        <f>IF($H37="","",$H37&amp;"|"&amp;$I37)</f>
        <v/>
      </c>
    </row>
    <row r="38">
      <c r="A38" s="8" t="n"/>
      <c r="B38" s="2">
        <f>IF($A38="","",IFERROR(INDEX(Listone!$B$2:$B$532,MATCH($A38,Listone!$A$2:$A$532,0)),"?"))</f>
        <v/>
      </c>
      <c r="C38" s="2">
        <f>IF($A38="","",IFERROR(INDEX(Listone!$C$2:$C$532,MATCH($A38,Listone!$A$2:$A$532,0)),""))</f>
        <v/>
      </c>
      <c r="D38" s="2">
        <f>IF($A38="","",IFERROR(INDEX(Listone!$D$2:$D$532,MATCH($A38,Listone!$A$2:$A$532,0)),""))</f>
        <v/>
      </c>
      <c r="E38" s="2">
        <f>IF($A38="","",IFERROR(INDEX(Listone!$G$2:$G$532,MATCH($A38,Listone!$A$2:$A$532,0)),""))</f>
        <v/>
      </c>
      <c r="F38" s="8" t="n"/>
      <c r="G38" s="8" t="n"/>
      <c r="H38" s="7">
        <f>IF(OR($A38="",$F38=""),"",$F38&amp;"|"&amp;$C38)</f>
        <v/>
      </c>
      <c r="I38" s="7">
        <f>IF($H38="","",COUNTIF($H$4:$H38,$H38))</f>
        <v/>
      </c>
      <c r="J38" s="7">
        <f>IF($H38="","",$H38&amp;"|"&amp;$I38)</f>
        <v/>
      </c>
    </row>
    <row r="39">
      <c r="A39" s="8" t="n"/>
      <c r="B39" s="2">
        <f>IF($A39="","",IFERROR(INDEX(Listone!$B$2:$B$532,MATCH($A39,Listone!$A$2:$A$532,0)),"?"))</f>
        <v/>
      </c>
      <c r="C39" s="2">
        <f>IF($A39="","",IFERROR(INDEX(Listone!$C$2:$C$532,MATCH($A39,Listone!$A$2:$A$532,0)),""))</f>
        <v/>
      </c>
      <c r="D39" s="2">
        <f>IF($A39="","",IFERROR(INDEX(Listone!$D$2:$D$532,MATCH($A39,Listone!$A$2:$A$532,0)),""))</f>
        <v/>
      </c>
      <c r="E39" s="2">
        <f>IF($A39="","",IFERROR(INDEX(Listone!$G$2:$G$532,MATCH($A39,Listone!$A$2:$A$532,0)),""))</f>
        <v/>
      </c>
      <c r="F39" s="8" t="n"/>
      <c r="G39" s="8" t="n"/>
      <c r="H39" s="7">
        <f>IF(OR($A39="",$F39=""),"",$F39&amp;"|"&amp;$C39)</f>
        <v/>
      </c>
      <c r="I39" s="7">
        <f>IF($H39="","",COUNTIF($H$4:$H39,$H39))</f>
        <v/>
      </c>
      <c r="J39" s="7">
        <f>IF($H39="","",$H39&amp;"|"&amp;$I39)</f>
        <v/>
      </c>
    </row>
    <row r="40">
      <c r="A40" s="8" t="n"/>
      <c r="B40" s="2">
        <f>IF($A40="","",IFERROR(INDEX(Listone!$B$2:$B$532,MATCH($A40,Listone!$A$2:$A$532,0)),"?"))</f>
        <v/>
      </c>
      <c r="C40" s="2">
        <f>IF($A40="","",IFERROR(INDEX(Listone!$C$2:$C$532,MATCH($A40,Listone!$A$2:$A$532,0)),""))</f>
        <v/>
      </c>
      <c r="D40" s="2">
        <f>IF($A40="","",IFERROR(INDEX(Listone!$D$2:$D$532,MATCH($A40,Listone!$A$2:$A$532,0)),""))</f>
        <v/>
      </c>
      <c r="E40" s="2">
        <f>IF($A40="","",IFERROR(INDEX(Listone!$G$2:$G$532,MATCH($A40,Listone!$A$2:$A$532,0)),""))</f>
        <v/>
      </c>
      <c r="F40" s="8" t="n"/>
      <c r="G40" s="8" t="n"/>
      <c r="H40" s="7">
        <f>IF(OR($A40="",$F40=""),"",$F40&amp;"|"&amp;$C40)</f>
        <v/>
      </c>
      <c r="I40" s="7">
        <f>IF($H40="","",COUNTIF($H$4:$H40,$H40))</f>
        <v/>
      </c>
      <c r="J40" s="7">
        <f>IF($H40="","",$H40&amp;"|"&amp;$I40)</f>
        <v/>
      </c>
    </row>
    <row r="41">
      <c r="A41" s="8" t="n"/>
      <c r="B41" s="2">
        <f>IF($A41="","",IFERROR(INDEX(Listone!$B$2:$B$532,MATCH($A41,Listone!$A$2:$A$532,0)),"?"))</f>
        <v/>
      </c>
      <c r="C41" s="2">
        <f>IF($A41="","",IFERROR(INDEX(Listone!$C$2:$C$532,MATCH($A41,Listone!$A$2:$A$532,0)),""))</f>
        <v/>
      </c>
      <c r="D41" s="2">
        <f>IF($A41="","",IFERROR(INDEX(Listone!$D$2:$D$532,MATCH($A41,Listone!$A$2:$A$532,0)),""))</f>
        <v/>
      </c>
      <c r="E41" s="2">
        <f>IF($A41="","",IFERROR(INDEX(Listone!$G$2:$G$532,MATCH($A41,Listone!$A$2:$A$532,0)),""))</f>
        <v/>
      </c>
      <c r="F41" s="8" t="n"/>
      <c r="G41" s="8" t="n"/>
      <c r="H41" s="7">
        <f>IF(OR($A41="",$F41=""),"",$F41&amp;"|"&amp;$C41)</f>
        <v/>
      </c>
      <c r="I41" s="7">
        <f>IF($H41="","",COUNTIF($H$4:$H41,$H41))</f>
        <v/>
      </c>
      <c r="J41" s="7">
        <f>IF($H41="","",$H41&amp;"|"&amp;$I41)</f>
        <v/>
      </c>
    </row>
    <row r="42">
      <c r="A42" s="8" t="n"/>
      <c r="B42" s="2">
        <f>IF($A42="","",IFERROR(INDEX(Listone!$B$2:$B$532,MATCH($A42,Listone!$A$2:$A$532,0)),"?"))</f>
        <v/>
      </c>
      <c r="C42" s="2">
        <f>IF($A42="","",IFERROR(INDEX(Listone!$C$2:$C$532,MATCH($A42,Listone!$A$2:$A$532,0)),""))</f>
        <v/>
      </c>
      <c r="D42" s="2">
        <f>IF($A42="","",IFERROR(INDEX(Listone!$D$2:$D$532,MATCH($A42,Listone!$A$2:$A$532,0)),""))</f>
        <v/>
      </c>
      <c r="E42" s="2">
        <f>IF($A42="","",IFERROR(INDEX(Listone!$G$2:$G$532,MATCH($A42,Listone!$A$2:$A$532,0)),""))</f>
        <v/>
      </c>
      <c r="F42" s="8" t="n"/>
      <c r="G42" s="8" t="n"/>
      <c r="H42" s="7">
        <f>IF(OR($A42="",$F42=""),"",$F42&amp;"|"&amp;$C42)</f>
        <v/>
      </c>
      <c r="I42" s="7">
        <f>IF($H42="","",COUNTIF($H$4:$H42,$H42))</f>
        <v/>
      </c>
      <c r="J42" s="7">
        <f>IF($H42="","",$H42&amp;"|"&amp;$I42)</f>
        <v/>
      </c>
    </row>
    <row r="43">
      <c r="A43" s="8" t="n"/>
      <c r="B43" s="2">
        <f>IF($A43="","",IFERROR(INDEX(Listone!$B$2:$B$532,MATCH($A43,Listone!$A$2:$A$532,0)),"?"))</f>
        <v/>
      </c>
      <c r="C43" s="2">
        <f>IF($A43="","",IFERROR(INDEX(Listone!$C$2:$C$532,MATCH($A43,Listone!$A$2:$A$532,0)),""))</f>
        <v/>
      </c>
      <c r="D43" s="2">
        <f>IF($A43="","",IFERROR(INDEX(Listone!$D$2:$D$532,MATCH($A43,Listone!$A$2:$A$532,0)),""))</f>
        <v/>
      </c>
      <c r="E43" s="2">
        <f>IF($A43="","",IFERROR(INDEX(Listone!$G$2:$G$532,MATCH($A43,Listone!$A$2:$A$532,0)),""))</f>
        <v/>
      </c>
      <c r="F43" s="8" t="n"/>
      <c r="G43" s="8" t="n"/>
      <c r="H43" s="7">
        <f>IF(OR($A43="",$F43=""),"",$F43&amp;"|"&amp;$C43)</f>
        <v/>
      </c>
      <c r="I43" s="7">
        <f>IF($H43="","",COUNTIF($H$4:$H43,$H43))</f>
        <v/>
      </c>
      <c r="J43" s="7">
        <f>IF($H43="","",$H43&amp;"|"&amp;$I43)</f>
        <v/>
      </c>
    </row>
    <row r="44">
      <c r="A44" s="8" t="n"/>
      <c r="B44" s="2">
        <f>IF($A44="","",IFERROR(INDEX(Listone!$B$2:$B$532,MATCH($A44,Listone!$A$2:$A$532,0)),"?"))</f>
        <v/>
      </c>
      <c r="C44" s="2">
        <f>IF($A44="","",IFERROR(INDEX(Listone!$C$2:$C$532,MATCH($A44,Listone!$A$2:$A$532,0)),""))</f>
        <v/>
      </c>
      <c r="D44" s="2">
        <f>IF($A44="","",IFERROR(INDEX(Listone!$D$2:$D$532,MATCH($A44,Listone!$A$2:$A$532,0)),""))</f>
        <v/>
      </c>
      <c r="E44" s="2">
        <f>IF($A44="","",IFERROR(INDEX(Listone!$G$2:$G$532,MATCH($A44,Listone!$A$2:$A$532,0)),""))</f>
        <v/>
      </c>
      <c r="F44" s="8" t="n"/>
      <c r="G44" s="8" t="n"/>
      <c r="H44" s="7">
        <f>IF(OR($A44="",$F44=""),"",$F44&amp;"|"&amp;$C44)</f>
        <v/>
      </c>
      <c r="I44" s="7">
        <f>IF($H44="","",COUNTIF($H$4:$H44,$H44))</f>
        <v/>
      </c>
      <c r="J44" s="7">
        <f>IF($H44="","",$H44&amp;"|"&amp;$I44)</f>
        <v/>
      </c>
    </row>
    <row r="45">
      <c r="A45" s="8" t="n"/>
      <c r="B45" s="2">
        <f>IF($A45="","",IFERROR(INDEX(Listone!$B$2:$B$532,MATCH($A45,Listone!$A$2:$A$532,0)),"?"))</f>
        <v/>
      </c>
      <c r="C45" s="2">
        <f>IF($A45="","",IFERROR(INDEX(Listone!$C$2:$C$532,MATCH($A45,Listone!$A$2:$A$532,0)),""))</f>
        <v/>
      </c>
      <c r="D45" s="2">
        <f>IF($A45="","",IFERROR(INDEX(Listone!$D$2:$D$532,MATCH($A45,Listone!$A$2:$A$532,0)),""))</f>
        <v/>
      </c>
      <c r="E45" s="2">
        <f>IF($A45="","",IFERROR(INDEX(Listone!$G$2:$G$532,MATCH($A45,Listone!$A$2:$A$532,0)),""))</f>
        <v/>
      </c>
      <c r="F45" s="8" t="n"/>
      <c r="G45" s="8" t="n"/>
      <c r="H45" s="7">
        <f>IF(OR($A45="",$F45=""),"",$F45&amp;"|"&amp;$C45)</f>
        <v/>
      </c>
      <c r="I45" s="7">
        <f>IF($H45="","",COUNTIF($H$4:$H45,$H45))</f>
        <v/>
      </c>
      <c r="J45" s="7">
        <f>IF($H45="","",$H45&amp;"|"&amp;$I45)</f>
        <v/>
      </c>
    </row>
    <row r="46">
      <c r="A46" s="8" t="n"/>
      <c r="B46" s="2">
        <f>IF($A46="","",IFERROR(INDEX(Listone!$B$2:$B$532,MATCH($A46,Listone!$A$2:$A$532,0)),"?"))</f>
        <v/>
      </c>
      <c r="C46" s="2">
        <f>IF($A46="","",IFERROR(INDEX(Listone!$C$2:$C$532,MATCH($A46,Listone!$A$2:$A$532,0)),""))</f>
        <v/>
      </c>
      <c r="D46" s="2">
        <f>IF($A46="","",IFERROR(INDEX(Listone!$D$2:$D$532,MATCH($A46,Listone!$A$2:$A$532,0)),""))</f>
        <v/>
      </c>
      <c r="E46" s="2">
        <f>IF($A46="","",IFERROR(INDEX(Listone!$G$2:$G$532,MATCH($A46,Listone!$A$2:$A$532,0)),""))</f>
        <v/>
      </c>
      <c r="F46" s="8" t="n"/>
      <c r="G46" s="8" t="n"/>
      <c r="H46" s="7">
        <f>IF(OR($A46="",$F46=""),"",$F46&amp;"|"&amp;$C46)</f>
        <v/>
      </c>
      <c r="I46" s="7">
        <f>IF($H46="","",COUNTIF($H$4:$H46,$H46))</f>
        <v/>
      </c>
      <c r="J46" s="7">
        <f>IF($H46="","",$H46&amp;"|"&amp;$I46)</f>
        <v/>
      </c>
    </row>
    <row r="47">
      <c r="A47" s="8" t="n"/>
      <c r="B47" s="2">
        <f>IF($A47="","",IFERROR(INDEX(Listone!$B$2:$B$532,MATCH($A47,Listone!$A$2:$A$532,0)),"?"))</f>
        <v/>
      </c>
      <c r="C47" s="2">
        <f>IF($A47="","",IFERROR(INDEX(Listone!$C$2:$C$532,MATCH($A47,Listone!$A$2:$A$532,0)),""))</f>
        <v/>
      </c>
      <c r="D47" s="2">
        <f>IF($A47="","",IFERROR(INDEX(Listone!$D$2:$D$532,MATCH($A47,Listone!$A$2:$A$532,0)),""))</f>
        <v/>
      </c>
      <c r="E47" s="2">
        <f>IF($A47="","",IFERROR(INDEX(Listone!$G$2:$G$532,MATCH($A47,Listone!$A$2:$A$532,0)),""))</f>
        <v/>
      </c>
      <c r="F47" s="8" t="n"/>
      <c r="G47" s="8" t="n"/>
      <c r="H47" s="7">
        <f>IF(OR($A47="",$F47=""),"",$F47&amp;"|"&amp;$C47)</f>
        <v/>
      </c>
      <c r="I47" s="7">
        <f>IF($H47="","",COUNTIF($H$4:$H47,$H47))</f>
        <v/>
      </c>
      <c r="J47" s="7">
        <f>IF($H47="","",$H47&amp;"|"&amp;$I47)</f>
        <v/>
      </c>
    </row>
    <row r="48">
      <c r="A48" s="8" t="n"/>
      <c r="B48" s="2">
        <f>IF($A48="","",IFERROR(INDEX(Listone!$B$2:$B$532,MATCH($A48,Listone!$A$2:$A$532,0)),"?"))</f>
        <v/>
      </c>
      <c r="C48" s="2">
        <f>IF($A48="","",IFERROR(INDEX(Listone!$C$2:$C$532,MATCH($A48,Listone!$A$2:$A$532,0)),""))</f>
        <v/>
      </c>
      <c r="D48" s="2">
        <f>IF($A48="","",IFERROR(INDEX(Listone!$D$2:$D$532,MATCH($A48,Listone!$A$2:$A$532,0)),""))</f>
        <v/>
      </c>
      <c r="E48" s="2">
        <f>IF($A48="","",IFERROR(INDEX(Listone!$G$2:$G$532,MATCH($A48,Listone!$A$2:$A$532,0)),""))</f>
        <v/>
      </c>
      <c r="F48" s="8" t="n"/>
      <c r="G48" s="8" t="n"/>
      <c r="H48" s="7">
        <f>IF(OR($A48="",$F48=""),"",$F48&amp;"|"&amp;$C48)</f>
        <v/>
      </c>
      <c r="I48" s="7">
        <f>IF($H48="","",COUNTIF($H$4:$H48,$H48))</f>
        <v/>
      </c>
      <c r="J48" s="7">
        <f>IF($H48="","",$H48&amp;"|"&amp;$I48)</f>
        <v/>
      </c>
    </row>
    <row r="49">
      <c r="A49" s="8" t="n"/>
      <c r="B49" s="2">
        <f>IF($A49="","",IFERROR(INDEX(Listone!$B$2:$B$532,MATCH($A49,Listone!$A$2:$A$532,0)),"?"))</f>
        <v/>
      </c>
      <c r="C49" s="2">
        <f>IF($A49="","",IFERROR(INDEX(Listone!$C$2:$C$532,MATCH($A49,Listone!$A$2:$A$532,0)),""))</f>
        <v/>
      </c>
      <c r="D49" s="2">
        <f>IF($A49="","",IFERROR(INDEX(Listone!$D$2:$D$532,MATCH($A49,Listone!$A$2:$A$532,0)),""))</f>
        <v/>
      </c>
      <c r="E49" s="2">
        <f>IF($A49="","",IFERROR(INDEX(Listone!$G$2:$G$532,MATCH($A49,Listone!$A$2:$A$532,0)),""))</f>
        <v/>
      </c>
      <c r="F49" s="8" t="n"/>
      <c r="G49" s="8" t="n"/>
      <c r="H49" s="7">
        <f>IF(OR($A49="",$F49=""),"",$F49&amp;"|"&amp;$C49)</f>
        <v/>
      </c>
      <c r="I49" s="7">
        <f>IF($H49="","",COUNTIF($H$4:$H49,$H49))</f>
        <v/>
      </c>
      <c r="J49" s="7">
        <f>IF($H49="","",$H49&amp;"|"&amp;$I49)</f>
        <v/>
      </c>
    </row>
    <row r="50">
      <c r="A50" s="8" t="n"/>
      <c r="B50" s="2">
        <f>IF($A50="","",IFERROR(INDEX(Listone!$B$2:$B$532,MATCH($A50,Listone!$A$2:$A$532,0)),"?"))</f>
        <v/>
      </c>
      <c r="C50" s="2">
        <f>IF($A50="","",IFERROR(INDEX(Listone!$C$2:$C$532,MATCH($A50,Listone!$A$2:$A$532,0)),""))</f>
        <v/>
      </c>
      <c r="D50" s="2">
        <f>IF($A50="","",IFERROR(INDEX(Listone!$D$2:$D$532,MATCH($A50,Listone!$A$2:$A$532,0)),""))</f>
        <v/>
      </c>
      <c r="E50" s="2">
        <f>IF($A50="","",IFERROR(INDEX(Listone!$G$2:$G$532,MATCH($A50,Listone!$A$2:$A$532,0)),""))</f>
        <v/>
      </c>
      <c r="F50" s="8" t="n"/>
      <c r="G50" s="8" t="n"/>
      <c r="H50" s="7">
        <f>IF(OR($A50="",$F50=""),"",$F50&amp;"|"&amp;$C50)</f>
        <v/>
      </c>
      <c r="I50" s="7">
        <f>IF($H50="","",COUNTIF($H$4:$H50,$H50))</f>
        <v/>
      </c>
      <c r="J50" s="7">
        <f>IF($H50="","",$H50&amp;"|"&amp;$I50)</f>
        <v/>
      </c>
    </row>
    <row r="51">
      <c r="A51" s="8" t="n"/>
      <c r="B51" s="2">
        <f>IF($A51="","",IFERROR(INDEX(Listone!$B$2:$B$532,MATCH($A51,Listone!$A$2:$A$532,0)),"?"))</f>
        <v/>
      </c>
      <c r="C51" s="2">
        <f>IF($A51="","",IFERROR(INDEX(Listone!$C$2:$C$532,MATCH($A51,Listone!$A$2:$A$532,0)),""))</f>
        <v/>
      </c>
      <c r="D51" s="2">
        <f>IF($A51="","",IFERROR(INDEX(Listone!$D$2:$D$532,MATCH($A51,Listone!$A$2:$A$532,0)),""))</f>
        <v/>
      </c>
      <c r="E51" s="2">
        <f>IF($A51="","",IFERROR(INDEX(Listone!$G$2:$G$532,MATCH($A51,Listone!$A$2:$A$532,0)),""))</f>
        <v/>
      </c>
      <c r="F51" s="8" t="n"/>
      <c r="G51" s="8" t="n"/>
      <c r="H51" s="7">
        <f>IF(OR($A51="",$F51=""),"",$F51&amp;"|"&amp;$C51)</f>
        <v/>
      </c>
      <c r="I51" s="7">
        <f>IF($H51="","",COUNTIF($H$4:$H51,$H51))</f>
        <v/>
      </c>
      <c r="J51" s="7">
        <f>IF($H51="","",$H51&amp;"|"&amp;$I51)</f>
        <v/>
      </c>
    </row>
    <row r="52">
      <c r="A52" s="8" t="n"/>
      <c r="B52" s="2">
        <f>IF($A52="","",IFERROR(INDEX(Listone!$B$2:$B$532,MATCH($A52,Listone!$A$2:$A$532,0)),"?"))</f>
        <v/>
      </c>
      <c r="C52" s="2">
        <f>IF($A52="","",IFERROR(INDEX(Listone!$C$2:$C$532,MATCH($A52,Listone!$A$2:$A$532,0)),""))</f>
        <v/>
      </c>
      <c r="D52" s="2">
        <f>IF($A52="","",IFERROR(INDEX(Listone!$D$2:$D$532,MATCH($A52,Listone!$A$2:$A$532,0)),""))</f>
        <v/>
      </c>
      <c r="E52" s="2">
        <f>IF($A52="","",IFERROR(INDEX(Listone!$G$2:$G$532,MATCH($A52,Listone!$A$2:$A$532,0)),""))</f>
        <v/>
      </c>
      <c r="F52" s="8" t="n"/>
      <c r="G52" s="8" t="n"/>
      <c r="H52" s="7">
        <f>IF(OR($A52="",$F52=""),"",$F52&amp;"|"&amp;$C52)</f>
        <v/>
      </c>
      <c r="I52" s="7">
        <f>IF($H52="","",COUNTIF($H$4:$H52,$H52))</f>
        <v/>
      </c>
      <c r="J52" s="7">
        <f>IF($H52="","",$H52&amp;"|"&amp;$I52)</f>
        <v/>
      </c>
    </row>
    <row r="53">
      <c r="A53" s="8" t="n"/>
      <c r="B53" s="2">
        <f>IF($A53="","",IFERROR(INDEX(Listone!$B$2:$B$532,MATCH($A53,Listone!$A$2:$A$532,0)),"?"))</f>
        <v/>
      </c>
      <c r="C53" s="2">
        <f>IF($A53="","",IFERROR(INDEX(Listone!$C$2:$C$532,MATCH($A53,Listone!$A$2:$A$532,0)),""))</f>
        <v/>
      </c>
      <c r="D53" s="2">
        <f>IF($A53="","",IFERROR(INDEX(Listone!$D$2:$D$532,MATCH($A53,Listone!$A$2:$A$532,0)),""))</f>
        <v/>
      </c>
      <c r="E53" s="2">
        <f>IF($A53="","",IFERROR(INDEX(Listone!$G$2:$G$532,MATCH($A53,Listone!$A$2:$A$532,0)),""))</f>
        <v/>
      </c>
      <c r="F53" s="8" t="n"/>
      <c r="G53" s="8" t="n"/>
      <c r="H53" s="7">
        <f>IF(OR($A53="",$F53=""),"",$F53&amp;"|"&amp;$C53)</f>
        <v/>
      </c>
      <c r="I53" s="7">
        <f>IF($H53="","",COUNTIF($H$4:$H53,$H53))</f>
        <v/>
      </c>
      <c r="J53" s="7">
        <f>IF($H53="","",$H53&amp;"|"&amp;$I53)</f>
        <v/>
      </c>
    </row>
    <row r="54">
      <c r="A54" s="8" t="n"/>
      <c r="B54" s="2">
        <f>IF($A54="","",IFERROR(INDEX(Listone!$B$2:$B$532,MATCH($A54,Listone!$A$2:$A$532,0)),"?"))</f>
        <v/>
      </c>
      <c r="C54" s="2">
        <f>IF($A54="","",IFERROR(INDEX(Listone!$C$2:$C$532,MATCH($A54,Listone!$A$2:$A$532,0)),""))</f>
        <v/>
      </c>
      <c r="D54" s="2">
        <f>IF($A54="","",IFERROR(INDEX(Listone!$D$2:$D$532,MATCH($A54,Listone!$A$2:$A$532,0)),""))</f>
        <v/>
      </c>
      <c r="E54" s="2">
        <f>IF($A54="","",IFERROR(INDEX(Listone!$G$2:$G$532,MATCH($A54,Listone!$A$2:$A$532,0)),""))</f>
        <v/>
      </c>
      <c r="F54" s="8" t="n"/>
      <c r="G54" s="8" t="n"/>
      <c r="H54" s="7">
        <f>IF(OR($A54="",$F54=""),"",$F54&amp;"|"&amp;$C54)</f>
        <v/>
      </c>
      <c r="I54" s="7">
        <f>IF($H54="","",COUNTIF($H$4:$H54,$H54))</f>
        <v/>
      </c>
      <c r="J54" s="7">
        <f>IF($H54="","",$H54&amp;"|"&amp;$I54)</f>
        <v/>
      </c>
    </row>
    <row r="55">
      <c r="A55" s="8" t="n"/>
      <c r="B55" s="2">
        <f>IF($A55="","",IFERROR(INDEX(Listone!$B$2:$B$532,MATCH($A55,Listone!$A$2:$A$532,0)),"?"))</f>
        <v/>
      </c>
      <c r="C55" s="2">
        <f>IF($A55="","",IFERROR(INDEX(Listone!$C$2:$C$532,MATCH($A55,Listone!$A$2:$A$532,0)),""))</f>
        <v/>
      </c>
      <c r="D55" s="2">
        <f>IF($A55="","",IFERROR(INDEX(Listone!$D$2:$D$532,MATCH($A55,Listone!$A$2:$A$532,0)),""))</f>
        <v/>
      </c>
      <c r="E55" s="2">
        <f>IF($A55="","",IFERROR(INDEX(Listone!$G$2:$G$532,MATCH($A55,Listone!$A$2:$A$532,0)),""))</f>
        <v/>
      </c>
      <c r="F55" s="8" t="n"/>
      <c r="G55" s="8" t="n"/>
      <c r="H55" s="7">
        <f>IF(OR($A55="",$F55=""),"",$F55&amp;"|"&amp;$C55)</f>
        <v/>
      </c>
      <c r="I55" s="7">
        <f>IF($H55="","",COUNTIF($H$4:$H55,$H55))</f>
        <v/>
      </c>
      <c r="J55" s="7">
        <f>IF($H55="","",$H55&amp;"|"&amp;$I55)</f>
        <v/>
      </c>
    </row>
    <row r="56">
      <c r="A56" s="8" t="n"/>
      <c r="B56" s="2">
        <f>IF($A56="","",IFERROR(INDEX(Listone!$B$2:$B$532,MATCH($A56,Listone!$A$2:$A$532,0)),"?"))</f>
        <v/>
      </c>
      <c r="C56" s="2">
        <f>IF($A56="","",IFERROR(INDEX(Listone!$C$2:$C$532,MATCH($A56,Listone!$A$2:$A$532,0)),""))</f>
        <v/>
      </c>
      <c r="D56" s="2">
        <f>IF($A56="","",IFERROR(INDEX(Listone!$D$2:$D$532,MATCH($A56,Listone!$A$2:$A$532,0)),""))</f>
        <v/>
      </c>
      <c r="E56" s="2">
        <f>IF($A56="","",IFERROR(INDEX(Listone!$G$2:$G$532,MATCH($A56,Listone!$A$2:$A$532,0)),""))</f>
        <v/>
      </c>
      <c r="F56" s="8" t="n"/>
      <c r="G56" s="8" t="n"/>
      <c r="H56" s="7">
        <f>IF(OR($A56="",$F56=""),"",$F56&amp;"|"&amp;$C56)</f>
        <v/>
      </c>
      <c r="I56" s="7">
        <f>IF($H56="","",COUNTIF($H$4:$H56,$H56))</f>
        <v/>
      </c>
      <c r="J56" s="7">
        <f>IF($H56="","",$H56&amp;"|"&amp;$I56)</f>
        <v/>
      </c>
    </row>
    <row r="57">
      <c r="A57" s="8" t="n"/>
      <c r="B57" s="2">
        <f>IF($A57="","",IFERROR(INDEX(Listone!$B$2:$B$532,MATCH($A57,Listone!$A$2:$A$532,0)),"?"))</f>
        <v/>
      </c>
      <c r="C57" s="2">
        <f>IF($A57="","",IFERROR(INDEX(Listone!$C$2:$C$532,MATCH($A57,Listone!$A$2:$A$532,0)),""))</f>
        <v/>
      </c>
      <c r="D57" s="2">
        <f>IF($A57="","",IFERROR(INDEX(Listone!$D$2:$D$532,MATCH($A57,Listone!$A$2:$A$532,0)),""))</f>
        <v/>
      </c>
      <c r="E57" s="2">
        <f>IF($A57="","",IFERROR(INDEX(Listone!$G$2:$G$532,MATCH($A57,Listone!$A$2:$A$532,0)),""))</f>
        <v/>
      </c>
      <c r="F57" s="8" t="n"/>
      <c r="G57" s="8" t="n"/>
      <c r="H57" s="7">
        <f>IF(OR($A57="",$F57=""),"",$F57&amp;"|"&amp;$C57)</f>
        <v/>
      </c>
      <c r="I57" s="7">
        <f>IF($H57="","",COUNTIF($H$4:$H57,$H57))</f>
        <v/>
      </c>
      <c r="J57" s="7">
        <f>IF($H57="","",$H57&amp;"|"&amp;$I57)</f>
        <v/>
      </c>
    </row>
    <row r="58">
      <c r="A58" s="8" t="n"/>
      <c r="B58" s="2">
        <f>IF($A58="","",IFERROR(INDEX(Listone!$B$2:$B$532,MATCH($A58,Listone!$A$2:$A$532,0)),"?"))</f>
        <v/>
      </c>
      <c r="C58" s="2">
        <f>IF($A58="","",IFERROR(INDEX(Listone!$C$2:$C$532,MATCH($A58,Listone!$A$2:$A$532,0)),""))</f>
        <v/>
      </c>
      <c r="D58" s="2">
        <f>IF($A58="","",IFERROR(INDEX(Listone!$D$2:$D$532,MATCH($A58,Listone!$A$2:$A$532,0)),""))</f>
        <v/>
      </c>
      <c r="E58" s="2">
        <f>IF($A58="","",IFERROR(INDEX(Listone!$G$2:$G$532,MATCH($A58,Listone!$A$2:$A$532,0)),""))</f>
        <v/>
      </c>
      <c r="F58" s="8" t="n"/>
      <c r="G58" s="8" t="n"/>
      <c r="H58" s="7">
        <f>IF(OR($A58="",$F58=""),"",$F58&amp;"|"&amp;$C58)</f>
        <v/>
      </c>
      <c r="I58" s="7">
        <f>IF($H58="","",COUNTIF($H$4:$H58,$H58))</f>
        <v/>
      </c>
      <c r="J58" s="7">
        <f>IF($H58="","",$H58&amp;"|"&amp;$I58)</f>
        <v/>
      </c>
    </row>
    <row r="59">
      <c r="A59" s="8" t="n"/>
      <c r="B59" s="2">
        <f>IF($A59="","",IFERROR(INDEX(Listone!$B$2:$B$532,MATCH($A59,Listone!$A$2:$A$532,0)),"?"))</f>
        <v/>
      </c>
      <c r="C59" s="2">
        <f>IF($A59="","",IFERROR(INDEX(Listone!$C$2:$C$532,MATCH($A59,Listone!$A$2:$A$532,0)),""))</f>
        <v/>
      </c>
      <c r="D59" s="2">
        <f>IF($A59="","",IFERROR(INDEX(Listone!$D$2:$D$532,MATCH($A59,Listone!$A$2:$A$532,0)),""))</f>
        <v/>
      </c>
      <c r="E59" s="2">
        <f>IF($A59="","",IFERROR(INDEX(Listone!$G$2:$G$532,MATCH($A59,Listone!$A$2:$A$532,0)),""))</f>
        <v/>
      </c>
      <c r="F59" s="8" t="n"/>
      <c r="G59" s="8" t="n"/>
      <c r="H59" s="7">
        <f>IF(OR($A59="",$F59=""),"",$F59&amp;"|"&amp;$C59)</f>
        <v/>
      </c>
      <c r="I59" s="7">
        <f>IF($H59="","",COUNTIF($H$4:$H59,$H59))</f>
        <v/>
      </c>
      <c r="J59" s="7">
        <f>IF($H59="","",$H59&amp;"|"&amp;$I59)</f>
        <v/>
      </c>
    </row>
    <row r="60">
      <c r="A60" s="8" t="n"/>
      <c r="B60" s="2">
        <f>IF($A60="","",IFERROR(INDEX(Listone!$B$2:$B$532,MATCH($A60,Listone!$A$2:$A$532,0)),"?"))</f>
        <v/>
      </c>
      <c r="C60" s="2">
        <f>IF($A60="","",IFERROR(INDEX(Listone!$C$2:$C$532,MATCH($A60,Listone!$A$2:$A$532,0)),""))</f>
        <v/>
      </c>
      <c r="D60" s="2">
        <f>IF($A60="","",IFERROR(INDEX(Listone!$D$2:$D$532,MATCH($A60,Listone!$A$2:$A$532,0)),""))</f>
        <v/>
      </c>
      <c r="E60" s="2">
        <f>IF($A60="","",IFERROR(INDEX(Listone!$G$2:$G$532,MATCH($A60,Listone!$A$2:$A$532,0)),""))</f>
        <v/>
      </c>
      <c r="F60" s="8" t="n"/>
      <c r="G60" s="8" t="n"/>
      <c r="H60" s="7">
        <f>IF(OR($A60="",$F60=""),"",$F60&amp;"|"&amp;$C60)</f>
        <v/>
      </c>
      <c r="I60" s="7">
        <f>IF($H60="","",COUNTIF($H$4:$H60,$H60))</f>
        <v/>
      </c>
      <c r="J60" s="7">
        <f>IF($H60="","",$H60&amp;"|"&amp;$I60)</f>
        <v/>
      </c>
    </row>
    <row r="61">
      <c r="A61" s="8" t="n"/>
      <c r="B61" s="2">
        <f>IF($A61="","",IFERROR(INDEX(Listone!$B$2:$B$532,MATCH($A61,Listone!$A$2:$A$532,0)),"?"))</f>
        <v/>
      </c>
      <c r="C61" s="2">
        <f>IF($A61="","",IFERROR(INDEX(Listone!$C$2:$C$532,MATCH($A61,Listone!$A$2:$A$532,0)),""))</f>
        <v/>
      </c>
      <c r="D61" s="2">
        <f>IF($A61="","",IFERROR(INDEX(Listone!$D$2:$D$532,MATCH($A61,Listone!$A$2:$A$532,0)),""))</f>
        <v/>
      </c>
      <c r="E61" s="2">
        <f>IF($A61="","",IFERROR(INDEX(Listone!$G$2:$G$532,MATCH($A61,Listone!$A$2:$A$532,0)),""))</f>
        <v/>
      </c>
      <c r="F61" s="8" t="n"/>
      <c r="G61" s="8" t="n"/>
      <c r="H61" s="7">
        <f>IF(OR($A61="",$F61=""),"",$F61&amp;"|"&amp;$C61)</f>
        <v/>
      </c>
      <c r="I61" s="7">
        <f>IF($H61="","",COUNTIF($H$4:$H61,$H61))</f>
        <v/>
      </c>
      <c r="J61" s="7">
        <f>IF($H61="","",$H61&amp;"|"&amp;$I61)</f>
        <v/>
      </c>
    </row>
    <row r="62">
      <c r="A62" s="8" t="n"/>
      <c r="B62" s="2">
        <f>IF($A62="","",IFERROR(INDEX(Listone!$B$2:$B$532,MATCH($A62,Listone!$A$2:$A$532,0)),"?"))</f>
        <v/>
      </c>
      <c r="C62" s="2">
        <f>IF($A62="","",IFERROR(INDEX(Listone!$C$2:$C$532,MATCH($A62,Listone!$A$2:$A$532,0)),""))</f>
        <v/>
      </c>
      <c r="D62" s="2">
        <f>IF($A62="","",IFERROR(INDEX(Listone!$D$2:$D$532,MATCH($A62,Listone!$A$2:$A$532,0)),""))</f>
        <v/>
      </c>
      <c r="E62" s="2">
        <f>IF($A62="","",IFERROR(INDEX(Listone!$G$2:$G$532,MATCH($A62,Listone!$A$2:$A$532,0)),""))</f>
        <v/>
      </c>
      <c r="F62" s="8" t="n"/>
      <c r="G62" s="8" t="n"/>
      <c r="H62" s="7">
        <f>IF(OR($A62="",$F62=""),"",$F62&amp;"|"&amp;$C62)</f>
        <v/>
      </c>
      <c r="I62" s="7">
        <f>IF($H62="","",COUNTIF($H$4:$H62,$H62))</f>
        <v/>
      </c>
      <c r="J62" s="7">
        <f>IF($H62="","",$H62&amp;"|"&amp;$I62)</f>
        <v/>
      </c>
    </row>
    <row r="63">
      <c r="A63" s="8" t="n"/>
      <c r="B63" s="2">
        <f>IF($A63="","",IFERROR(INDEX(Listone!$B$2:$B$532,MATCH($A63,Listone!$A$2:$A$532,0)),"?"))</f>
        <v/>
      </c>
      <c r="C63" s="2">
        <f>IF($A63="","",IFERROR(INDEX(Listone!$C$2:$C$532,MATCH($A63,Listone!$A$2:$A$532,0)),""))</f>
        <v/>
      </c>
      <c r="D63" s="2">
        <f>IF($A63="","",IFERROR(INDEX(Listone!$D$2:$D$532,MATCH($A63,Listone!$A$2:$A$532,0)),""))</f>
        <v/>
      </c>
      <c r="E63" s="2">
        <f>IF($A63="","",IFERROR(INDEX(Listone!$G$2:$G$532,MATCH($A63,Listone!$A$2:$A$532,0)),""))</f>
        <v/>
      </c>
      <c r="F63" s="8" t="n"/>
      <c r="G63" s="8" t="n"/>
      <c r="H63" s="7">
        <f>IF(OR($A63="",$F63=""),"",$F63&amp;"|"&amp;$C63)</f>
        <v/>
      </c>
      <c r="I63" s="7">
        <f>IF($H63="","",COUNTIF($H$4:$H63,$H63))</f>
        <v/>
      </c>
      <c r="J63" s="7">
        <f>IF($H63="","",$H63&amp;"|"&amp;$I63)</f>
        <v/>
      </c>
    </row>
    <row r="64">
      <c r="A64" s="8" t="n"/>
      <c r="B64" s="2">
        <f>IF($A64="","",IFERROR(INDEX(Listone!$B$2:$B$532,MATCH($A64,Listone!$A$2:$A$532,0)),"?"))</f>
        <v/>
      </c>
      <c r="C64" s="2">
        <f>IF($A64="","",IFERROR(INDEX(Listone!$C$2:$C$532,MATCH($A64,Listone!$A$2:$A$532,0)),""))</f>
        <v/>
      </c>
      <c r="D64" s="2">
        <f>IF($A64="","",IFERROR(INDEX(Listone!$D$2:$D$532,MATCH($A64,Listone!$A$2:$A$532,0)),""))</f>
        <v/>
      </c>
      <c r="E64" s="2">
        <f>IF($A64="","",IFERROR(INDEX(Listone!$G$2:$G$532,MATCH($A64,Listone!$A$2:$A$532,0)),""))</f>
        <v/>
      </c>
      <c r="F64" s="8" t="n"/>
      <c r="G64" s="8" t="n"/>
      <c r="H64" s="7">
        <f>IF(OR($A64="",$F64=""),"",$F64&amp;"|"&amp;$C64)</f>
        <v/>
      </c>
      <c r="I64" s="7">
        <f>IF($H64="","",COUNTIF($H$4:$H64,$H64))</f>
        <v/>
      </c>
      <c r="J64" s="7">
        <f>IF($H64="","",$H64&amp;"|"&amp;$I64)</f>
        <v/>
      </c>
    </row>
    <row r="65">
      <c r="A65" s="8" t="n"/>
      <c r="B65" s="2">
        <f>IF($A65="","",IFERROR(INDEX(Listone!$B$2:$B$532,MATCH($A65,Listone!$A$2:$A$532,0)),"?"))</f>
        <v/>
      </c>
      <c r="C65" s="2">
        <f>IF($A65="","",IFERROR(INDEX(Listone!$C$2:$C$532,MATCH($A65,Listone!$A$2:$A$532,0)),""))</f>
        <v/>
      </c>
      <c r="D65" s="2">
        <f>IF($A65="","",IFERROR(INDEX(Listone!$D$2:$D$532,MATCH($A65,Listone!$A$2:$A$532,0)),""))</f>
        <v/>
      </c>
      <c r="E65" s="2">
        <f>IF($A65="","",IFERROR(INDEX(Listone!$G$2:$G$532,MATCH($A65,Listone!$A$2:$A$532,0)),""))</f>
        <v/>
      </c>
      <c r="F65" s="8" t="n"/>
      <c r="G65" s="8" t="n"/>
      <c r="H65" s="7">
        <f>IF(OR($A65="",$F65=""),"",$F65&amp;"|"&amp;$C65)</f>
        <v/>
      </c>
      <c r="I65" s="7">
        <f>IF($H65="","",COUNTIF($H$4:$H65,$H65))</f>
        <v/>
      </c>
      <c r="J65" s="7">
        <f>IF($H65="","",$H65&amp;"|"&amp;$I65)</f>
        <v/>
      </c>
    </row>
    <row r="66">
      <c r="A66" s="8" t="n"/>
      <c r="B66" s="2">
        <f>IF($A66="","",IFERROR(INDEX(Listone!$B$2:$B$532,MATCH($A66,Listone!$A$2:$A$532,0)),"?"))</f>
        <v/>
      </c>
      <c r="C66" s="2">
        <f>IF($A66="","",IFERROR(INDEX(Listone!$C$2:$C$532,MATCH($A66,Listone!$A$2:$A$532,0)),""))</f>
        <v/>
      </c>
      <c r="D66" s="2">
        <f>IF($A66="","",IFERROR(INDEX(Listone!$D$2:$D$532,MATCH($A66,Listone!$A$2:$A$532,0)),""))</f>
        <v/>
      </c>
      <c r="E66" s="2">
        <f>IF($A66="","",IFERROR(INDEX(Listone!$G$2:$G$532,MATCH($A66,Listone!$A$2:$A$532,0)),""))</f>
        <v/>
      </c>
      <c r="F66" s="8" t="n"/>
      <c r="G66" s="8" t="n"/>
      <c r="H66" s="7">
        <f>IF(OR($A66="",$F66=""),"",$F66&amp;"|"&amp;$C66)</f>
        <v/>
      </c>
      <c r="I66" s="7">
        <f>IF($H66="","",COUNTIF($H$4:$H66,$H66))</f>
        <v/>
      </c>
      <c r="J66" s="7">
        <f>IF($H66="","",$H66&amp;"|"&amp;$I66)</f>
        <v/>
      </c>
    </row>
    <row r="67">
      <c r="A67" s="8" t="n"/>
      <c r="B67" s="2">
        <f>IF($A67="","",IFERROR(INDEX(Listone!$B$2:$B$532,MATCH($A67,Listone!$A$2:$A$532,0)),"?"))</f>
        <v/>
      </c>
      <c r="C67" s="2">
        <f>IF($A67="","",IFERROR(INDEX(Listone!$C$2:$C$532,MATCH($A67,Listone!$A$2:$A$532,0)),""))</f>
        <v/>
      </c>
      <c r="D67" s="2">
        <f>IF($A67="","",IFERROR(INDEX(Listone!$D$2:$D$532,MATCH($A67,Listone!$A$2:$A$532,0)),""))</f>
        <v/>
      </c>
      <c r="E67" s="2">
        <f>IF($A67="","",IFERROR(INDEX(Listone!$G$2:$G$532,MATCH($A67,Listone!$A$2:$A$532,0)),""))</f>
        <v/>
      </c>
      <c r="F67" s="8" t="n"/>
      <c r="G67" s="8" t="n"/>
      <c r="H67" s="7">
        <f>IF(OR($A67="",$F67=""),"",$F67&amp;"|"&amp;$C67)</f>
        <v/>
      </c>
      <c r="I67" s="7">
        <f>IF($H67="","",COUNTIF($H$4:$H67,$H67))</f>
        <v/>
      </c>
      <c r="J67" s="7">
        <f>IF($H67="","",$H67&amp;"|"&amp;$I67)</f>
        <v/>
      </c>
    </row>
    <row r="68">
      <c r="A68" s="8" t="n"/>
      <c r="B68" s="2">
        <f>IF($A68="","",IFERROR(INDEX(Listone!$B$2:$B$532,MATCH($A68,Listone!$A$2:$A$532,0)),"?"))</f>
        <v/>
      </c>
      <c r="C68" s="2">
        <f>IF($A68="","",IFERROR(INDEX(Listone!$C$2:$C$532,MATCH($A68,Listone!$A$2:$A$532,0)),""))</f>
        <v/>
      </c>
      <c r="D68" s="2">
        <f>IF($A68="","",IFERROR(INDEX(Listone!$D$2:$D$532,MATCH($A68,Listone!$A$2:$A$532,0)),""))</f>
        <v/>
      </c>
      <c r="E68" s="2">
        <f>IF($A68="","",IFERROR(INDEX(Listone!$G$2:$G$532,MATCH($A68,Listone!$A$2:$A$532,0)),""))</f>
        <v/>
      </c>
      <c r="F68" s="8" t="n"/>
      <c r="G68" s="8" t="n"/>
      <c r="H68" s="7">
        <f>IF(OR($A68="",$F68=""),"",$F68&amp;"|"&amp;$C68)</f>
        <v/>
      </c>
      <c r="I68" s="7">
        <f>IF($H68="","",COUNTIF($H$4:$H68,$H68))</f>
        <v/>
      </c>
      <c r="J68" s="7">
        <f>IF($H68="","",$H68&amp;"|"&amp;$I68)</f>
        <v/>
      </c>
    </row>
    <row r="69">
      <c r="A69" s="8" t="n"/>
      <c r="B69" s="2">
        <f>IF($A69="","",IFERROR(INDEX(Listone!$B$2:$B$532,MATCH($A69,Listone!$A$2:$A$532,0)),"?"))</f>
        <v/>
      </c>
      <c r="C69" s="2">
        <f>IF($A69="","",IFERROR(INDEX(Listone!$C$2:$C$532,MATCH($A69,Listone!$A$2:$A$532,0)),""))</f>
        <v/>
      </c>
      <c r="D69" s="2">
        <f>IF($A69="","",IFERROR(INDEX(Listone!$D$2:$D$532,MATCH($A69,Listone!$A$2:$A$532,0)),""))</f>
        <v/>
      </c>
      <c r="E69" s="2">
        <f>IF($A69="","",IFERROR(INDEX(Listone!$G$2:$G$532,MATCH($A69,Listone!$A$2:$A$532,0)),""))</f>
        <v/>
      </c>
      <c r="F69" s="8" t="n"/>
      <c r="G69" s="8" t="n"/>
      <c r="H69" s="7">
        <f>IF(OR($A69="",$F69=""),"",$F69&amp;"|"&amp;$C69)</f>
        <v/>
      </c>
      <c r="I69" s="7">
        <f>IF($H69="","",COUNTIF($H$4:$H69,$H69))</f>
        <v/>
      </c>
      <c r="J69" s="7">
        <f>IF($H69="","",$H69&amp;"|"&amp;$I69)</f>
        <v/>
      </c>
    </row>
    <row r="70">
      <c r="A70" s="8" t="n"/>
      <c r="B70" s="2">
        <f>IF($A70="","",IFERROR(INDEX(Listone!$B$2:$B$532,MATCH($A70,Listone!$A$2:$A$532,0)),"?"))</f>
        <v/>
      </c>
      <c r="C70" s="2">
        <f>IF($A70="","",IFERROR(INDEX(Listone!$C$2:$C$532,MATCH($A70,Listone!$A$2:$A$532,0)),""))</f>
        <v/>
      </c>
      <c r="D70" s="2">
        <f>IF($A70="","",IFERROR(INDEX(Listone!$D$2:$D$532,MATCH($A70,Listone!$A$2:$A$532,0)),""))</f>
        <v/>
      </c>
      <c r="E70" s="2">
        <f>IF($A70="","",IFERROR(INDEX(Listone!$G$2:$G$532,MATCH($A70,Listone!$A$2:$A$532,0)),""))</f>
        <v/>
      </c>
      <c r="F70" s="8" t="n"/>
      <c r="G70" s="8" t="n"/>
      <c r="H70" s="7">
        <f>IF(OR($A70="",$F70=""),"",$F70&amp;"|"&amp;$C70)</f>
        <v/>
      </c>
      <c r="I70" s="7">
        <f>IF($H70="","",COUNTIF($H$4:$H70,$H70))</f>
        <v/>
      </c>
      <c r="J70" s="7">
        <f>IF($H70="","",$H70&amp;"|"&amp;$I70)</f>
        <v/>
      </c>
    </row>
    <row r="71">
      <c r="A71" s="8" t="n"/>
      <c r="B71" s="2">
        <f>IF($A71="","",IFERROR(INDEX(Listone!$B$2:$B$532,MATCH($A71,Listone!$A$2:$A$532,0)),"?"))</f>
        <v/>
      </c>
      <c r="C71" s="2">
        <f>IF($A71="","",IFERROR(INDEX(Listone!$C$2:$C$532,MATCH($A71,Listone!$A$2:$A$532,0)),""))</f>
        <v/>
      </c>
      <c r="D71" s="2">
        <f>IF($A71="","",IFERROR(INDEX(Listone!$D$2:$D$532,MATCH($A71,Listone!$A$2:$A$532,0)),""))</f>
        <v/>
      </c>
      <c r="E71" s="2">
        <f>IF($A71="","",IFERROR(INDEX(Listone!$G$2:$G$532,MATCH($A71,Listone!$A$2:$A$532,0)),""))</f>
        <v/>
      </c>
      <c r="F71" s="8" t="n"/>
      <c r="G71" s="8" t="n"/>
      <c r="H71" s="7">
        <f>IF(OR($A71="",$F71=""),"",$F71&amp;"|"&amp;$C71)</f>
        <v/>
      </c>
      <c r="I71" s="7">
        <f>IF($H71="","",COUNTIF($H$4:$H71,$H71))</f>
        <v/>
      </c>
      <c r="J71" s="7">
        <f>IF($H71="","",$H71&amp;"|"&amp;$I71)</f>
        <v/>
      </c>
    </row>
    <row r="72">
      <c r="A72" s="8" t="n"/>
      <c r="B72" s="2">
        <f>IF($A72="","",IFERROR(INDEX(Listone!$B$2:$B$532,MATCH($A72,Listone!$A$2:$A$532,0)),"?"))</f>
        <v/>
      </c>
      <c r="C72" s="2">
        <f>IF($A72="","",IFERROR(INDEX(Listone!$C$2:$C$532,MATCH($A72,Listone!$A$2:$A$532,0)),""))</f>
        <v/>
      </c>
      <c r="D72" s="2">
        <f>IF($A72="","",IFERROR(INDEX(Listone!$D$2:$D$532,MATCH($A72,Listone!$A$2:$A$532,0)),""))</f>
        <v/>
      </c>
      <c r="E72" s="2">
        <f>IF($A72="","",IFERROR(INDEX(Listone!$G$2:$G$532,MATCH($A72,Listone!$A$2:$A$532,0)),""))</f>
        <v/>
      </c>
      <c r="F72" s="8" t="n"/>
      <c r="G72" s="8" t="n"/>
      <c r="H72" s="7">
        <f>IF(OR($A72="",$F72=""),"",$F72&amp;"|"&amp;$C72)</f>
        <v/>
      </c>
      <c r="I72" s="7">
        <f>IF($H72="","",COUNTIF($H$4:$H72,$H72))</f>
        <v/>
      </c>
      <c r="J72" s="7">
        <f>IF($H72="","",$H72&amp;"|"&amp;$I72)</f>
        <v/>
      </c>
    </row>
    <row r="73">
      <c r="A73" s="8" t="n"/>
      <c r="B73" s="2">
        <f>IF($A73="","",IFERROR(INDEX(Listone!$B$2:$B$532,MATCH($A73,Listone!$A$2:$A$532,0)),"?"))</f>
        <v/>
      </c>
      <c r="C73" s="2">
        <f>IF($A73="","",IFERROR(INDEX(Listone!$C$2:$C$532,MATCH($A73,Listone!$A$2:$A$532,0)),""))</f>
        <v/>
      </c>
      <c r="D73" s="2">
        <f>IF($A73="","",IFERROR(INDEX(Listone!$D$2:$D$532,MATCH($A73,Listone!$A$2:$A$532,0)),""))</f>
        <v/>
      </c>
      <c r="E73" s="2">
        <f>IF($A73="","",IFERROR(INDEX(Listone!$G$2:$G$532,MATCH($A73,Listone!$A$2:$A$532,0)),""))</f>
        <v/>
      </c>
      <c r="F73" s="8" t="n"/>
      <c r="G73" s="8" t="n"/>
      <c r="H73" s="7">
        <f>IF(OR($A73="",$F73=""),"",$F73&amp;"|"&amp;$C73)</f>
        <v/>
      </c>
      <c r="I73" s="7">
        <f>IF($H73="","",COUNTIF($H$4:$H73,$H73))</f>
        <v/>
      </c>
      <c r="J73" s="7">
        <f>IF($H73="","",$H73&amp;"|"&amp;$I73)</f>
        <v/>
      </c>
    </row>
    <row r="74">
      <c r="A74" s="8" t="n"/>
      <c r="B74" s="2">
        <f>IF($A74="","",IFERROR(INDEX(Listone!$B$2:$B$532,MATCH($A74,Listone!$A$2:$A$532,0)),"?"))</f>
        <v/>
      </c>
      <c r="C74" s="2">
        <f>IF($A74="","",IFERROR(INDEX(Listone!$C$2:$C$532,MATCH($A74,Listone!$A$2:$A$532,0)),""))</f>
        <v/>
      </c>
      <c r="D74" s="2">
        <f>IF($A74="","",IFERROR(INDEX(Listone!$D$2:$D$532,MATCH($A74,Listone!$A$2:$A$532,0)),""))</f>
        <v/>
      </c>
      <c r="E74" s="2">
        <f>IF($A74="","",IFERROR(INDEX(Listone!$G$2:$G$532,MATCH($A74,Listone!$A$2:$A$532,0)),""))</f>
        <v/>
      </c>
      <c r="F74" s="8" t="n"/>
      <c r="G74" s="8" t="n"/>
      <c r="H74" s="7">
        <f>IF(OR($A74="",$F74=""),"",$F74&amp;"|"&amp;$C74)</f>
        <v/>
      </c>
      <c r="I74" s="7">
        <f>IF($H74="","",COUNTIF($H$4:$H74,$H74))</f>
        <v/>
      </c>
      <c r="J74" s="7">
        <f>IF($H74="","",$H74&amp;"|"&amp;$I74)</f>
        <v/>
      </c>
    </row>
    <row r="75">
      <c r="A75" s="8" t="n"/>
      <c r="B75" s="2">
        <f>IF($A75="","",IFERROR(INDEX(Listone!$B$2:$B$532,MATCH($A75,Listone!$A$2:$A$532,0)),"?"))</f>
        <v/>
      </c>
      <c r="C75" s="2">
        <f>IF($A75="","",IFERROR(INDEX(Listone!$C$2:$C$532,MATCH($A75,Listone!$A$2:$A$532,0)),""))</f>
        <v/>
      </c>
      <c r="D75" s="2">
        <f>IF($A75="","",IFERROR(INDEX(Listone!$D$2:$D$532,MATCH($A75,Listone!$A$2:$A$532,0)),""))</f>
        <v/>
      </c>
      <c r="E75" s="2">
        <f>IF($A75="","",IFERROR(INDEX(Listone!$G$2:$G$532,MATCH($A75,Listone!$A$2:$A$532,0)),""))</f>
        <v/>
      </c>
      <c r="F75" s="8" t="n"/>
      <c r="G75" s="8" t="n"/>
      <c r="H75" s="7">
        <f>IF(OR($A75="",$F75=""),"",$F75&amp;"|"&amp;$C75)</f>
        <v/>
      </c>
      <c r="I75" s="7">
        <f>IF($H75="","",COUNTIF($H$4:$H75,$H75))</f>
        <v/>
      </c>
      <c r="J75" s="7">
        <f>IF($H75="","",$H75&amp;"|"&amp;$I75)</f>
        <v/>
      </c>
    </row>
    <row r="76">
      <c r="A76" s="8" t="n"/>
      <c r="B76" s="2">
        <f>IF($A76="","",IFERROR(INDEX(Listone!$B$2:$B$532,MATCH($A76,Listone!$A$2:$A$532,0)),"?"))</f>
        <v/>
      </c>
      <c r="C76" s="2">
        <f>IF($A76="","",IFERROR(INDEX(Listone!$C$2:$C$532,MATCH($A76,Listone!$A$2:$A$532,0)),""))</f>
        <v/>
      </c>
      <c r="D76" s="2">
        <f>IF($A76="","",IFERROR(INDEX(Listone!$D$2:$D$532,MATCH($A76,Listone!$A$2:$A$532,0)),""))</f>
        <v/>
      </c>
      <c r="E76" s="2">
        <f>IF($A76="","",IFERROR(INDEX(Listone!$G$2:$G$532,MATCH($A76,Listone!$A$2:$A$532,0)),""))</f>
        <v/>
      </c>
      <c r="F76" s="8" t="n"/>
      <c r="G76" s="8" t="n"/>
      <c r="H76" s="7">
        <f>IF(OR($A76="",$F76=""),"",$F76&amp;"|"&amp;$C76)</f>
        <v/>
      </c>
      <c r="I76" s="7">
        <f>IF($H76="","",COUNTIF($H$4:$H76,$H76))</f>
        <v/>
      </c>
      <c r="J76" s="7">
        <f>IF($H76="","",$H76&amp;"|"&amp;$I76)</f>
        <v/>
      </c>
    </row>
    <row r="77">
      <c r="A77" s="8" t="n"/>
      <c r="B77" s="2">
        <f>IF($A77="","",IFERROR(INDEX(Listone!$B$2:$B$532,MATCH($A77,Listone!$A$2:$A$532,0)),"?"))</f>
        <v/>
      </c>
      <c r="C77" s="2">
        <f>IF($A77="","",IFERROR(INDEX(Listone!$C$2:$C$532,MATCH($A77,Listone!$A$2:$A$532,0)),""))</f>
        <v/>
      </c>
      <c r="D77" s="2">
        <f>IF($A77="","",IFERROR(INDEX(Listone!$D$2:$D$532,MATCH($A77,Listone!$A$2:$A$532,0)),""))</f>
        <v/>
      </c>
      <c r="E77" s="2">
        <f>IF($A77="","",IFERROR(INDEX(Listone!$G$2:$G$532,MATCH($A77,Listone!$A$2:$A$532,0)),""))</f>
        <v/>
      </c>
      <c r="F77" s="8" t="n"/>
      <c r="G77" s="8" t="n"/>
      <c r="H77" s="7">
        <f>IF(OR($A77="",$F77=""),"",$F77&amp;"|"&amp;$C77)</f>
        <v/>
      </c>
      <c r="I77" s="7">
        <f>IF($H77="","",COUNTIF($H$4:$H77,$H77))</f>
        <v/>
      </c>
      <c r="J77" s="7">
        <f>IF($H77="","",$H77&amp;"|"&amp;$I77)</f>
        <v/>
      </c>
    </row>
    <row r="78">
      <c r="A78" s="8" t="n"/>
      <c r="B78" s="2">
        <f>IF($A78="","",IFERROR(INDEX(Listone!$B$2:$B$532,MATCH($A78,Listone!$A$2:$A$532,0)),"?"))</f>
        <v/>
      </c>
      <c r="C78" s="2">
        <f>IF($A78="","",IFERROR(INDEX(Listone!$C$2:$C$532,MATCH($A78,Listone!$A$2:$A$532,0)),""))</f>
        <v/>
      </c>
      <c r="D78" s="2">
        <f>IF($A78="","",IFERROR(INDEX(Listone!$D$2:$D$532,MATCH($A78,Listone!$A$2:$A$532,0)),""))</f>
        <v/>
      </c>
      <c r="E78" s="2">
        <f>IF($A78="","",IFERROR(INDEX(Listone!$G$2:$G$532,MATCH($A78,Listone!$A$2:$A$532,0)),""))</f>
        <v/>
      </c>
      <c r="F78" s="8" t="n"/>
      <c r="G78" s="8" t="n"/>
      <c r="H78" s="7">
        <f>IF(OR($A78="",$F78=""),"",$F78&amp;"|"&amp;$C78)</f>
        <v/>
      </c>
      <c r="I78" s="7">
        <f>IF($H78="","",COUNTIF($H$4:$H78,$H78))</f>
        <v/>
      </c>
      <c r="J78" s="7">
        <f>IF($H78="","",$H78&amp;"|"&amp;$I78)</f>
        <v/>
      </c>
    </row>
    <row r="79">
      <c r="A79" s="8" t="n"/>
      <c r="B79" s="2">
        <f>IF($A79="","",IFERROR(INDEX(Listone!$B$2:$B$532,MATCH($A79,Listone!$A$2:$A$532,0)),"?"))</f>
        <v/>
      </c>
      <c r="C79" s="2">
        <f>IF($A79="","",IFERROR(INDEX(Listone!$C$2:$C$532,MATCH($A79,Listone!$A$2:$A$532,0)),""))</f>
        <v/>
      </c>
      <c r="D79" s="2">
        <f>IF($A79="","",IFERROR(INDEX(Listone!$D$2:$D$532,MATCH($A79,Listone!$A$2:$A$532,0)),""))</f>
        <v/>
      </c>
      <c r="E79" s="2">
        <f>IF($A79="","",IFERROR(INDEX(Listone!$G$2:$G$532,MATCH($A79,Listone!$A$2:$A$532,0)),""))</f>
        <v/>
      </c>
      <c r="F79" s="8" t="n"/>
      <c r="G79" s="8" t="n"/>
      <c r="H79" s="7">
        <f>IF(OR($A79="",$F79=""),"",$F79&amp;"|"&amp;$C79)</f>
        <v/>
      </c>
      <c r="I79" s="7">
        <f>IF($H79="","",COUNTIF($H$4:$H79,$H79))</f>
        <v/>
      </c>
      <c r="J79" s="7">
        <f>IF($H79="","",$H79&amp;"|"&amp;$I79)</f>
        <v/>
      </c>
    </row>
    <row r="80">
      <c r="A80" s="8" t="n"/>
      <c r="B80" s="2">
        <f>IF($A80="","",IFERROR(INDEX(Listone!$B$2:$B$532,MATCH($A80,Listone!$A$2:$A$532,0)),"?"))</f>
        <v/>
      </c>
      <c r="C80" s="2">
        <f>IF($A80="","",IFERROR(INDEX(Listone!$C$2:$C$532,MATCH($A80,Listone!$A$2:$A$532,0)),""))</f>
        <v/>
      </c>
      <c r="D80" s="2">
        <f>IF($A80="","",IFERROR(INDEX(Listone!$D$2:$D$532,MATCH($A80,Listone!$A$2:$A$532,0)),""))</f>
        <v/>
      </c>
      <c r="E80" s="2">
        <f>IF($A80="","",IFERROR(INDEX(Listone!$G$2:$G$532,MATCH($A80,Listone!$A$2:$A$532,0)),""))</f>
        <v/>
      </c>
      <c r="F80" s="8" t="n"/>
      <c r="G80" s="8" t="n"/>
      <c r="H80" s="7">
        <f>IF(OR($A80="",$F80=""),"",$F80&amp;"|"&amp;$C80)</f>
        <v/>
      </c>
      <c r="I80" s="7">
        <f>IF($H80="","",COUNTIF($H$4:$H80,$H80))</f>
        <v/>
      </c>
      <c r="J80" s="7">
        <f>IF($H80="","",$H80&amp;"|"&amp;$I80)</f>
        <v/>
      </c>
    </row>
    <row r="81">
      <c r="A81" s="8" t="n"/>
      <c r="B81" s="2">
        <f>IF($A81="","",IFERROR(INDEX(Listone!$B$2:$B$532,MATCH($A81,Listone!$A$2:$A$532,0)),"?"))</f>
        <v/>
      </c>
      <c r="C81" s="2">
        <f>IF($A81="","",IFERROR(INDEX(Listone!$C$2:$C$532,MATCH($A81,Listone!$A$2:$A$532,0)),""))</f>
        <v/>
      </c>
      <c r="D81" s="2">
        <f>IF($A81="","",IFERROR(INDEX(Listone!$D$2:$D$532,MATCH($A81,Listone!$A$2:$A$532,0)),""))</f>
        <v/>
      </c>
      <c r="E81" s="2">
        <f>IF($A81="","",IFERROR(INDEX(Listone!$G$2:$G$532,MATCH($A81,Listone!$A$2:$A$532,0)),""))</f>
        <v/>
      </c>
      <c r="F81" s="8" t="n"/>
      <c r="G81" s="8" t="n"/>
      <c r="H81" s="7">
        <f>IF(OR($A81="",$F81=""),"",$F81&amp;"|"&amp;$C81)</f>
        <v/>
      </c>
      <c r="I81" s="7">
        <f>IF($H81="","",COUNTIF($H$4:$H81,$H81))</f>
        <v/>
      </c>
      <c r="J81" s="7">
        <f>IF($H81="","",$H81&amp;"|"&amp;$I81)</f>
        <v/>
      </c>
    </row>
    <row r="82">
      <c r="A82" s="8" t="n"/>
      <c r="B82" s="2">
        <f>IF($A82="","",IFERROR(INDEX(Listone!$B$2:$B$532,MATCH($A82,Listone!$A$2:$A$532,0)),"?"))</f>
        <v/>
      </c>
      <c r="C82" s="2">
        <f>IF($A82="","",IFERROR(INDEX(Listone!$C$2:$C$532,MATCH($A82,Listone!$A$2:$A$532,0)),""))</f>
        <v/>
      </c>
      <c r="D82" s="2">
        <f>IF($A82="","",IFERROR(INDEX(Listone!$D$2:$D$532,MATCH($A82,Listone!$A$2:$A$532,0)),""))</f>
        <v/>
      </c>
      <c r="E82" s="2">
        <f>IF($A82="","",IFERROR(INDEX(Listone!$G$2:$G$532,MATCH($A82,Listone!$A$2:$A$532,0)),""))</f>
        <v/>
      </c>
      <c r="F82" s="8" t="n"/>
      <c r="G82" s="8" t="n"/>
      <c r="H82" s="7">
        <f>IF(OR($A82="",$F82=""),"",$F82&amp;"|"&amp;$C82)</f>
        <v/>
      </c>
      <c r="I82" s="7">
        <f>IF($H82="","",COUNTIF($H$4:$H82,$H82))</f>
        <v/>
      </c>
      <c r="J82" s="7">
        <f>IF($H82="","",$H82&amp;"|"&amp;$I82)</f>
        <v/>
      </c>
    </row>
    <row r="83">
      <c r="A83" s="8" t="n"/>
      <c r="B83" s="2">
        <f>IF($A83="","",IFERROR(INDEX(Listone!$B$2:$B$532,MATCH($A83,Listone!$A$2:$A$532,0)),"?"))</f>
        <v/>
      </c>
      <c r="C83" s="2">
        <f>IF($A83="","",IFERROR(INDEX(Listone!$C$2:$C$532,MATCH($A83,Listone!$A$2:$A$532,0)),""))</f>
        <v/>
      </c>
      <c r="D83" s="2">
        <f>IF($A83="","",IFERROR(INDEX(Listone!$D$2:$D$532,MATCH($A83,Listone!$A$2:$A$532,0)),""))</f>
        <v/>
      </c>
      <c r="E83" s="2">
        <f>IF($A83="","",IFERROR(INDEX(Listone!$G$2:$G$532,MATCH($A83,Listone!$A$2:$A$532,0)),""))</f>
        <v/>
      </c>
      <c r="F83" s="8" t="n"/>
      <c r="G83" s="8" t="n"/>
      <c r="H83" s="7">
        <f>IF(OR($A83="",$F83=""),"",$F83&amp;"|"&amp;$C83)</f>
        <v/>
      </c>
      <c r="I83" s="7">
        <f>IF($H83="","",COUNTIF($H$4:$H83,$H83))</f>
        <v/>
      </c>
      <c r="J83" s="7">
        <f>IF($H83="","",$H83&amp;"|"&amp;$I83)</f>
        <v/>
      </c>
    </row>
    <row r="84">
      <c r="A84" s="8" t="n"/>
      <c r="B84" s="2">
        <f>IF($A84="","",IFERROR(INDEX(Listone!$B$2:$B$532,MATCH($A84,Listone!$A$2:$A$532,0)),"?"))</f>
        <v/>
      </c>
      <c r="C84" s="2">
        <f>IF($A84="","",IFERROR(INDEX(Listone!$C$2:$C$532,MATCH($A84,Listone!$A$2:$A$532,0)),""))</f>
        <v/>
      </c>
      <c r="D84" s="2">
        <f>IF($A84="","",IFERROR(INDEX(Listone!$D$2:$D$532,MATCH($A84,Listone!$A$2:$A$532,0)),""))</f>
        <v/>
      </c>
      <c r="E84" s="2">
        <f>IF($A84="","",IFERROR(INDEX(Listone!$G$2:$G$532,MATCH($A84,Listone!$A$2:$A$532,0)),""))</f>
        <v/>
      </c>
      <c r="F84" s="8" t="n"/>
      <c r="G84" s="8" t="n"/>
      <c r="H84" s="7">
        <f>IF(OR($A84="",$F84=""),"",$F84&amp;"|"&amp;$C84)</f>
        <v/>
      </c>
      <c r="I84" s="7">
        <f>IF($H84="","",COUNTIF($H$4:$H84,$H84))</f>
        <v/>
      </c>
      <c r="J84" s="7">
        <f>IF($H84="","",$H84&amp;"|"&amp;$I84)</f>
        <v/>
      </c>
    </row>
    <row r="85">
      <c r="A85" s="8" t="n"/>
      <c r="B85" s="2">
        <f>IF($A85="","",IFERROR(INDEX(Listone!$B$2:$B$532,MATCH($A85,Listone!$A$2:$A$532,0)),"?"))</f>
        <v/>
      </c>
      <c r="C85" s="2">
        <f>IF($A85="","",IFERROR(INDEX(Listone!$C$2:$C$532,MATCH($A85,Listone!$A$2:$A$532,0)),""))</f>
        <v/>
      </c>
      <c r="D85" s="2">
        <f>IF($A85="","",IFERROR(INDEX(Listone!$D$2:$D$532,MATCH($A85,Listone!$A$2:$A$532,0)),""))</f>
        <v/>
      </c>
      <c r="E85" s="2">
        <f>IF($A85="","",IFERROR(INDEX(Listone!$G$2:$G$532,MATCH($A85,Listone!$A$2:$A$532,0)),""))</f>
        <v/>
      </c>
      <c r="F85" s="8" t="n"/>
      <c r="G85" s="8" t="n"/>
      <c r="H85" s="7">
        <f>IF(OR($A85="",$F85=""),"",$F85&amp;"|"&amp;$C85)</f>
        <v/>
      </c>
      <c r="I85" s="7">
        <f>IF($H85="","",COUNTIF($H$4:$H85,$H85))</f>
        <v/>
      </c>
      <c r="J85" s="7">
        <f>IF($H85="","",$H85&amp;"|"&amp;$I85)</f>
        <v/>
      </c>
    </row>
    <row r="86">
      <c r="A86" s="8" t="n"/>
      <c r="B86" s="2">
        <f>IF($A86="","",IFERROR(INDEX(Listone!$B$2:$B$532,MATCH($A86,Listone!$A$2:$A$532,0)),"?"))</f>
        <v/>
      </c>
      <c r="C86" s="2">
        <f>IF($A86="","",IFERROR(INDEX(Listone!$C$2:$C$532,MATCH($A86,Listone!$A$2:$A$532,0)),""))</f>
        <v/>
      </c>
      <c r="D86" s="2">
        <f>IF($A86="","",IFERROR(INDEX(Listone!$D$2:$D$532,MATCH($A86,Listone!$A$2:$A$532,0)),""))</f>
        <v/>
      </c>
      <c r="E86" s="2">
        <f>IF($A86="","",IFERROR(INDEX(Listone!$G$2:$G$532,MATCH($A86,Listone!$A$2:$A$532,0)),""))</f>
        <v/>
      </c>
      <c r="F86" s="8" t="n"/>
      <c r="G86" s="8" t="n"/>
      <c r="H86" s="7">
        <f>IF(OR($A86="",$F86=""),"",$F86&amp;"|"&amp;$C86)</f>
        <v/>
      </c>
      <c r="I86" s="7">
        <f>IF($H86="","",COUNTIF($H$4:$H86,$H86))</f>
        <v/>
      </c>
      <c r="J86" s="7">
        <f>IF($H86="","",$H86&amp;"|"&amp;$I86)</f>
        <v/>
      </c>
    </row>
    <row r="87">
      <c r="A87" s="8" t="n"/>
      <c r="B87" s="2">
        <f>IF($A87="","",IFERROR(INDEX(Listone!$B$2:$B$532,MATCH($A87,Listone!$A$2:$A$532,0)),"?"))</f>
        <v/>
      </c>
      <c r="C87" s="2">
        <f>IF($A87="","",IFERROR(INDEX(Listone!$C$2:$C$532,MATCH($A87,Listone!$A$2:$A$532,0)),""))</f>
        <v/>
      </c>
      <c r="D87" s="2">
        <f>IF($A87="","",IFERROR(INDEX(Listone!$D$2:$D$532,MATCH($A87,Listone!$A$2:$A$532,0)),""))</f>
        <v/>
      </c>
      <c r="E87" s="2">
        <f>IF($A87="","",IFERROR(INDEX(Listone!$G$2:$G$532,MATCH($A87,Listone!$A$2:$A$532,0)),""))</f>
        <v/>
      </c>
      <c r="F87" s="8" t="n"/>
      <c r="G87" s="8" t="n"/>
      <c r="H87" s="7">
        <f>IF(OR($A87="",$F87=""),"",$F87&amp;"|"&amp;$C87)</f>
        <v/>
      </c>
      <c r="I87" s="7">
        <f>IF($H87="","",COUNTIF($H$4:$H87,$H87))</f>
        <v/>
      </c>
      <c r="J87" s="7">
        <f>IF($H87="","",$H87&amp;"|"&amp;$I87)</f>
        <v/>
      </c>
    </row>
    <row r="88">
      <c r="A88" s="8" t="n"/>
      <c r="B88" s="2">
        <f>IF($A88="","",IFERROR(INDEX(Listone!$B$2:$B$532,MATCH($A88,Listone!$A$2:$A$532,0)),"?"))</f>
        <v/>
      </c>
      <c r="C88" s="2">
        <f>IF($A88="","",IFERROR(INDEX(Listone!$C$2:$C$532,MATCH($A88,Listone!$A$2:$A$532,0)),""))</f>
        <v/>
      </c>
      <c r="D88" s="2">
        <f>IF($A88="","",IFERROR(INDEX(Listone!$D$2:$D$532,MATCH($A88,Listone!$A$2:$A$532,0)),""))</f>
        <v/>
      </c>
      <c r="E88" s="2">
        <f>IF($A88="","",IFERROR(INDEX(Listone!$G$2:$G$532,MATCH($A88,Listone!$A$2:$A$532,0)),""))</f>
        <v/>
      </c>
      <c r="F88" s="8" t="n"/>
      <c r="G88" s="8" t="n"/>
      <c r="H88" s="7">
        <f>IF(OR($A88="",$F88=""),"",$F88&amp;"|"&amp;$C88)</f>
        <v/>
      </c>
      <c r="I88" s="7">
        <f>IF($H88="","",COUNTIF($H$4:$H88,$H88))</f>
        <v/>
      </c>
      <c r="J88" s="7">
        <f>IF($H88="","",$H88&amp;"|"&amp;$I88)</f>
        <v/>
      </c>
    </row>
    <row r="89">
      <c r="A89" s="8" t="n"/>
      <c r="B89" s="2">
        <f>IF($A89="","",IFERROR(INDEX(Listone!$B$2:$B$532,MATCH($A89,Listone!$A$2:$A$532,0)),"?"))</f>
        <v/>
      </c>
      <c r="C89" s="2">
        <f>IF($A89="","",IFERROR(INDEX(Listone!$C$2:$C$532,MATCH($A89,Listone!$A$2:$A$532,0)),""))</f>
        <v/>
      </c>
      <c r="D89" s="2">
        <f>IF($A89="","",IFERROR(INDEX(Listone!$D$2:$D$532,MATCH($A89,Listone!$A$2:$A$532,0)),""))</f>
        <v/>
      </c>
      <c r="E89" s="2">
        <f>IF($A89="","",IFERROR(INDEX(Listone!$G$2:$G$532,MATCH($A89,Listone!$A$2:$A$532,0)),""))</f>
        <v/>
      </c>
      <c r="F89" s="8" t="n"/>
      <c r="G89" s="8" t="n"/>
      <c r="H89" s="7">
        <f>IF(OR($A89="",$F89=""),"",$F89&amp;"|"&amp;$C89)</f>
        <v/>
      </c>
      <c r="I89" s="7">
        <f>IF($H89="","",COUNTIF($H$4:$H89,$H89))</f>
        <v/>
      </c>
      <c r="J89" s="7">
        <f>IF($H89="","",$H89&amp;"|"&amp;$I89)</f>
        <v/>
      </c>
    </row>
    <row r="90">
      <c r="A90" s="8" t="n"/>
      <c r="B90" s="2">
        <f>IF($A90="","",IFERROR(INDEX(Listone!$B$2:$B$532,MATCH($A90,Listone!$A$2:$A$532,0)),"?"))</f>
        <v/>
      </c>
      <c r="C90" s="2">
        <f>IF($A90="","",IFERROR(INDEX(Listone!$C$2:$C$532,MATCH($A90,Listone!$A$2:$A$532,0)),""))</f>
        <v/>
      </c>
      <c r="D90" s="2">
        <f>IF($A90="","",IFERROR(INDEX(Listone!$D$2:$D$532,MATCH($A90,Listone!$A$2:$A$532,0)),""))</f>
        <v/>
      </c>
      <c r="E90" s="2">
        <f>IF($A90="","",IFERROR(INDEX(Listone!$G$2:$G$532,MATCH($A90,Listone!$A$2:$A$532,0)),""))</f>
        <v/>
      </c>
      <c r="F90" s="8" t="n"/>
      <c r="G90" s="8" t="n"/>
      <c r="H90" s="7">
        <f>IF(OR($A90="",$F90=""),"",$F90&amp;"|"&amp;$C90)</f>
        <v/>
      </c>
      <c r="I90" s="7">
        <f>IF($H90="","",COUNTIF($H$4:$H90,$H90))</f>
        <v/>
      </c>
      <c r="J90" s="7">
        <f>IF($H90="","",$H90&amp;"|"&amp;$I90)</f>
        <v/>
      </c>
    </row>
    <row r="91">
      <c r="A91" s="8" t="n"/>
      <c r="B91" s="2">
        <f>IF($A91="","",IFERROR(INDEX(Listone!$B$2:$B$532,MATCH($A91,Listone!$A$2:$A$532,0)),"?"))</f>
        <v/>
      </c>
      <c r="C91" s="2">
        <f>IF($A91="","",IFERROR(INDEX(Listone!$C$2:$C$532,MATCH($A91,Listone!$A$2:$A$532,0)),""))</f>
        <v/>
      </c>
      <c r="D91" s="2">
        <f>IF($A91="","",IFERROR(INDEX(Listone!$D$2:$D$532,MATCH($A91,Listone!$A$2:$A$532,0)),""))</f>
        <v/>
      </c>
      <c r="E91" s="2">
        <f>IF($A91="","",IFERROR(INDEX(Listone!$G$2:$G$532,MATCH($A91,Listone!$A$2:$A$532,0)),""))</f>
        <v/>
      </c>
      <c r="F91" s="8" t="n"/>
      <c r="G91" s="8" t="n"/>
      <c r="H91" s="7">
        <f>IF(OR($A91="",$F91=""),"",$F91&amp;"|"&amp;$C91)</f>
        <v/>
      </c>
      <c r="I91" s="7">
        <f>IF($H91="","",COUNTIF($H$4:$H91,$H91))</f>
        <v/>
      </c>
      <c r="J91" s="7">
        <f>IF($H91="","",$H91&amp;"|"&amp;$I91)</f>
        <v/>
      </c>
    </row>
    <row r="92">
      <c r="A92" s="8" t="n"/>
      <c r="B92" s="2">
        <f>IF($A92="","",IFERROR(INDEX(Listone!$B$2:$B$532,MATCH($A92,Listone!$A$2:$A$532,0)),"?"))</f>
        <v/>
      </c>
      <c r="C92" s="2">
        <f>IF($A92="","",IFERROR(INDEX(Listone!$C$2:$C$532,MATCH($A92,Listone!$A$2:$A$532,0)),""))</f>
        <v/>
      </c>
      <c r="D92" s="2">
        <f>IF($A92="","",IFERROR(INDEX(Listone!$D$2:$D$532,MATCH($A92,Listone!$A$2:$A$532,0)),""))</f>
        <v/>
      </c>
      <c r="E92" s="2">
        <f>IF($A92="","",IFERROR(INDEX(Listone!$G$2:$G$532,MATCH($A92,Listone!$A$2:$A$532,0)),""))</f>
        <v/>
      </c>
      <c r="F92" s="8" t="n"/>
      <c r="G92" s="8" t="n"/>
      <c r="H92" s="7">
        <f>IF(OR($A92="",$F92=""),"",$F92&amp;"|"&amp;$C92)</f>
        <v/>
      </c>
      <c r="I92" s="7">
        <f>IF($H92="","",COUNTIF($H$4:$H92,$H92))</f>
        <v/>
      </c>
      <c r="J92" s="7">
        <f>IF($H92="","",$H92&amp;"|"&amp;$I92)</f>
        <v/>
      </c>
    </row>
    <row r="93">
      <c r="A93" s="8" t="n"/>
      <c r="B93" s="2">
        <f>IF($A93="","",IFERROR(INDEX(Listone!$B$2:$B$532,MATCH($A93,Listone!$A$2:$A$532,0)),"?"))</f>
        <v/>
      </c>
      <c r="C93" s="2">
        <f>IF($A93="","",IFERROR(INDEX(Listone!$C$2:$C$532,MATCH($A93,Listone!$A$2:$A$532,0)),""))</f>
        <v/>
      </c>
      <c r="D93" s="2">
        <f>IF($A93="","",IFERROR(INDEX(Listone!$D$2:$D$532,MATCH($A93,Listone!$A$2:$A$532,0)),""))</f>
        <v/>
      </c>
      <c r="E93" s="2">
        <f>IF($A93="","",IFERROR(INDEX(Listone!$G$2:$G$532,MATCH($A93,Listone!$A$2:$A$532,0)),""))</f>
        <v/>
      </c>
      <c r="F93" s="8" t="n"/>
      <c r="G93" s="8" t="n"/>
      <c r="H93" s="7">
        <f>IF(OR($A93="",$F93=""),"",$F93&amp;"|"&amp;$C93)</f>
        <v/>
      </c>
      <c r="I93" s="7">
        <f>IF($H93="","",COUNTIF($H$4:$H93,$H93))</f>
        <v/>
      </c>
      <c r="J93" s="7">
        <f>IF($H93="","",$H93&amp;"|"&amp;$I93)</f>
        <v/>
      </c>
    </row>
    <row r="94">
      <c r="A94" s="8" t="n"/>
      <c r="B94" s="2">
        <f>IF($A94="","",IFERROR(INDEX(Listone!$B$2:$B$532,MATCH($A94,Listone!$A$2:$A$532,0)),"?"))</f>
        <v/>
      </c>
      <c r="C94" s="2">
        <f>IF($A94="","",IFERROR(INDEX(Listone!$C$2:$C$532,MATCH($A94,Listone!$A$2:$A$532,0)),""))</f>
        <v/>
      </c>
      <c r="D94" s="2">
        <f>IF($A94="","",IFERROR(INDEX(Listone!$D$2:$D$532,MATCH($A94,Listone!$A$2:$A$532,0)),""))</f>
        <v/>
      </c>
      <c r="E94" s="2">
        <f>IF($A94="","",IFERROR(INDEX(Listone!$G$2:$G$532,MATCH($A94,Listone!$A$2:$A$532,0)),""))</f>
        <v/>
      </c>
      <c r="F94" s="8" t="n"/>
      <c r="G94" s="8" t="n"/>
      <c r="H94" s="7">
        <f>IF(OR($A94="",$F94=""),"",$F94&amp;"|"&amp;$C94)</f>
        <v/>
      </c>
      <c r="I94" s="7">
        <f>IF($H94="","",COUNTIF($H$4:$H94,$H94))</f>
        <v/>
      </c>
      <c r="J94" s="7">
        <f>IF($H94="","",$H94&amp;"|"&amp;$I94)</f>
        <v/>
      </c>
    </row>
    <row r="95">
      <c r="A95" s="8" t="n"/>
      <c r="B95" s="2">
        <f>IF($A95="","",IFERROR(INDEX(Listone!$B$2:$B$532,MATCH($A95,Listone!$A$2:$A$532,0)),"?"))</f>
        <v/>
      </c>
      <c r="C95" s="2">
        <f>IF($A95="","",IFERROR(INDEX(Listone!$C$2:$C$532,MATCH($A95,Listone!$A$2:$A$532,0)),""))</f>
        <v/>
      </c>
      <c r="D95" s="2">
        <f>IF($A95="","",IFERROR(INDEX(Listone!$D$2:$D$532,MATCH($A95,Listone!$A$2:$A$532,0)),""))</f>
        <v/>
      </c>
      <c r="E95" s="2">
        <f>IF($A95="","",IFERROR(INDEX(Listone!$G$2:$G$532,MATCH($A95,Listone!$A$2:$A$532,0)),""))</f>
        <v/>
      </c>
      <c r="F95" s="8" t="n"/>
      <c r="G95" s="8" t="n"/>
      <c r="H95" s="7">
        <f>IF(OR($A95="",$F95=""),"",$F95&amp;"|"&amp;$C95)</f>
        <v/>
      </c>
      <c r="I95" s="7">
        <f>IF($H95="","",COUNTIF($H$4:$H95,$H95))</f>
        <v/>
      </c>
      <c r="J95" s="7">
        <f>IF($H95="","",$H95&amp;"|"&amp;$I95)</f>
        <v/>
      </c>
    </row>
    <row r="96">
      <c r="A96" s="8" t="n"/>
      <c r="B96" s="2">
        <f>IF($A96="","",IFERROR(INDEX(Listone!$B$2:$B$532,MATCH($A96,Listone!$A$2:$A$532,0)),"?"))</f>
        <v/>
      </c>
      <c r="C96" s="2">
        <f>IF($A96="","",IFERROR(INDEX(Listone!$C$2:$C$532,MATCH($A96,Listone!$A$2:$A$532,0)),""))</f>
        <v/>
      </c>
      <c r="D96" s="2">
        <f>IF($A96="","",IFERROR(INDEX(Listone!$D$2:$D$532,MATCH($A96,Listone!$A$2:$A$532,0)),""))</f>
        <v/>
      </c>
      <c r="E96" s="2">
        <f>IF($A96="","",IFERROR(INDEX(Listone!$G$2:$G$532,MATCH($A96,Listone!$A$2:$A$532,0)),""))</f>
        <v/>
      </c>
      <c r="F96" s="8" t="n"/>
      <c r="G96" s="8" t="n"/>
      <c r="H96" s="7">
        <f>IF(OR($A96="",$F96=""),"",$F96&amp;"|"&amp;$C96)</f>
        <v/>
      </c>
      <c r="I96" s="7">
        <f>IF($H96="","",COUNTIF($H$4:$H96,$H96))</f>
        <v/>
      </c>
      <c r="J96" s="7">
        <f>IF($H96="","",$H96&amp;"|"&amp;$I96)</f>
        <v/>
      </c>
    </row>
    <row r="97">
      <c r="A97" s="8" t="n"/>
      <c r="B97" s="2">
        <f>IF($A97="","",IFERROR(INDEX(Listone!$B$2:$B$532,MATCH($A97,Listone!$A$2:$A$532,0)),"?"))</f>
        <v/>
      </c>
      <c r="C97" s="2">
        <f>IF($A97="","",IFERROR(INDEX(Listone!$C$2:$C$532,MATCH($A97,Listone!$A$2:$A$532,0)),""))</f>
        <v/>
      </c>
      <c r="D97" s="2">
        <f>IF($A97="","",IFERROR(INDEX(Listone!$D$2:$D$532,MATCH($A97,Listone!$A$2:$A$532,0)),""))</f>
        <v/>
      </c>
      <c r="E97" s="2">
        <f>IF($A97="","",IFERROR(INDEX(Listone!$G$2:$G$532,MATCH($A97,Listone!$A$2:$A$532,0)),""))</f>
        <v/>
      </c>
      <c r="F97" s="8" t="n"/>
      <c r="G97" s="8" t="n"/>
      <c r="H97" s="7">
        <f>IF(OR($A97="",$F97=""),"",$F97&amp;"|"&amp;$C97)</f>
        <v/>
      </c>
      <c r="I97" s="7">
        <f>IF($H97="","",COUNTIF($H$4:$H97,$H97))</f>
        <v/>
      </c>
      <c r="J97" s="7">
        <f>IF($H97="","",$H97&amp;"|"&amp;$I97)</f>
        <v/>
      </c>
    </row>
    <row r="98">
      <c r="A98" s="8" t="n"/>
      <c r="B98" s="2">
        <f>IF($A98="","",IFERROR(INDEX(Listone!$B$2:$B$532,MATCH($A98,Listone!$A$2:$A$532,0)),"?"))</f>
        <v/>
      </c>
      <c r="C98" s="2">
        <f>IF($A98="","",IFERROR(INDEX(Listone!$C$2:$C$532,MATCH($A98,Listone!$A$2:$A$532,0)),""))</f>
        <v/>
      </c>
      <c r="D98" s="2">
        <f>IF($A98="","",IFERROR(INDEX(Listone!$D$2:$D$532,MATCH($A98,Listone!$A$2:$A$532,0)),""))</f>
        <v/>
      </c>
      <c r="E98" s="2">
        <f>IF($A98="","",IFERROR(INDEX(Listone!$G$2:$G$532,MATCH($A98,Listone!$A$2:$A$532,0)),""))</f>
        <v/>
      </c>
      <c r="F98" s="8" t="n"/>
      <c r="G98" s="8" t="n"/>
      <c r="H98" s="7">
        <f>IF(OR($A98="",$F98=""),"",$F98&amp;"|"&amp;$C98)</f>
        <v/>
      </c>
      <c r="I98" s="7">
        <f>IF($H98="","",COUNTIF($H$4:$H98,$H98))</f>
        <v/>
      </c>
      <c r="J98" s="7">
        <f>IF($H98="","",$H98&amp;"|"&amp;$I98)</f>
        <v/>
      </c>
    </row>
    <row r="99">
      <c r="A99" s="8" t="n"/>
      <c r="B99" s="2">
        <f>IF($A99="","",IFERROR(INDEX(Listone!$B$2:$B$532,MATCH($A99,Listone!$A$2:$A$532,0)),"?"))</f>
        <v/>
      </c>
      <c r="C99" s="2">
        <f>IF($A99="","",IFERROR(INDEX(Listone!$C$2:$C$532,MATCH($A99,Listone!$A$2:$A$532,0)),""))</f>
        <v/>
      </c>
      <c r="D99" s="2">
        <f>IF($A99="","",IFERROR(INDEX(Listone!$D$2:$D$532,MATCH($A99,Listone!$A$2:$A$532,0)),""))</f>
        <v/>
      </c>
      <c r="E99" s="2">
        <f>IF($A99="","",IFERROR(INDEX(Listone!$G$2:$G$532,MATCH($A99,Listone!$A$2:$A$532,0)),""))</f>
        <v/>
      </c>
      <c r="F99" s="8" t="n"/>
      <c r="G99" s="8" t="n"/>
      <c r="H99" s="7">
        <f>IF(OR($A99="",$F99=""),"",$F99&amp;"|"&amp;$C99)</f>
        <v/>
      </c>
      <c r="I99" s="7">
        <f>IF($H99="","",COUNTIF($H$4:$H99,$H99))</f>
        <v/>
      </c>
      <c r="J99" s="7">
        <f>IF($H99="","",$H99&amp;"|"&amp;$I99)</f>
        <v/>
      </c>
    </row>
    <row r="100">
      <c r="A100" s="8" t="n"/>
      <c r="B100" s="2">
        <f>IF($A100="","",IFERROR(INDEX(Listone!$B$2:$B$532,MATCH($A100,Listone!$A$2:$A$532,0)),"?"))</f>
        <v/>
      </c>
      <c r="C100" s="2">
        <f>IF($A100="","",IFERROR(INDEX(Listone!$C$2:$C$532,MATCH($A100,Listone!$A$2:$A$532,0)),""))</f>
        <v/>
      </c>
      <c r="D100" s="2">
        <f>IF($A100="","",IFERROR(INDEX(Listone!$D$2:$D$532,MATCH($A100,Listone!$A$2:$A$532,0)),""))</f>
        <v/>
      </c>
      <c r="E100" s="2">
        <f>IF($A100="","",IFERROR(INDEX(Listone!$G$2:$G$532,MATCH($A100,Listone!$A$2:$A$532,0)),""))</f>
        <v/>
      </c>
      <c r="F100" s="8" t="n"/>
      <c r="G100" s="8" t="n"/>
      <c r="H100" s="7">
        <f>IF(OR($A100="",$F100=""),"",$F100&amp;"|"&amp;$C100)</f>
        <v/>
      </c>
      <c r="I100" s="7">
        <f>IF($H100="","",COUNTIF($H$4:$H100,$H100))</f>
        <v/>
      </c>
      <c r="J100" s="7">
        <f>IF($H100="","",$H100&amp;"|"&amp;$I100)</f>
        <v/>
      </c>
    </row>
    <row r="101">
      <c r="A101" s="8" t="n"/>
      <c r="B101" s="2">
        <f>IF($A101="","",IFERROR(INDEX(Listone!$B$2:$B$532,MATCH($A101,Listone!$A$2:$A$532,0)),"?"))</f>
        <v/>
      </c>
      <c r="C101" s="2">
        <f>IF($A101="","",IFERROR(INDEX(Listone!$C$2:$C$532,MATCH($A101,Listone!$A$2:$A$532,0)),""))</f>
        <v/>
      </c>
      <c r="D101" s="2">
        <f>IF($A101="","",IFERROR(INDEX(Listone!$D$2:$D$532,MATCH($A101,Listone!$A$2:$A$532,0)),""))</f>
        <v/>
      </c>
      <c r="E101" s="2">
        <f>IF($A101="","",IFERROR(INDEX(Listone!$G$2:$G$532,MATCH($A101,Listone!$A$2:$A$532,0)),""))</f>
        <v/>
      </c>
      <c r="F101" s="8" t="n"/>
      <c r="G101" s="8" t="n"/>
      <c r="H101" s="7">
        <f>IF(OR($A101="",$F101=""),"",$F101&amp;"|"&amp;$C101)</f>
        <v/>
      </c>
      <c r="I101" s="7">
        <f>IF($H101="","",COUNTIF($H$4:$H101,$H101))</f>
        <v/>
      </c>
      <c r="J101" s="7">
        <f>IF($H101="","",$H101&amp;"|"&amp;$I101)</f>
        <v/>
      </c>
    </row>
    <row r="102">
      <c r="A102" s="8" t="n"/>
      <c r="B102" s="2">
        <f>IF($A102="","",IFERROR(INDEX(Listone!$B$2:$B$532,MATCH($A102,Listone!$A$2:$A$532,0)),"?"))</f>
        <v/>
      </c>
      <c r="C102" s="2">
        <f>IF($A102="","",IFERROR(INDEX(Listone!$C$2:$C$532,MATCH($A102,Listone!$A$2:$A$532,0)),""))</f>
        <v/>
      </c>
      <c r="D102" s="2">
        <f>IF($A102="","",IFERROR(INDEX(Listone!$D$2:$D$532,MATCH($A102,Listone!$A$2:$A$532,0)),""))</f>
        <v/>
      </c>
      <c r="E102" s="2">
        <f>IF($A102="","",IFERROR(INDEX(Listone!$G$2:$G$532,MATCH($A102,Listone!$A$2:$A$532,0)),""))</f>
        <v/>
      </c>
      <c r="F102" s="8" t="n"/>
      <c r="G102" s="8" t="n"/>
      <c r="H102" s="7">
        <f>IF(OR($A102="",$F102=""),"",$F102&amp;"|"&amp;$C102)</f>
        <v/>
      </c>
      <c r="I102" s="7">
        <f>IF($H102="","",COUNTIF($H$4:$H102,$H102))</f>
        <v/>
      </c>
      <c r="J102" s="7">
        <f>IF($H102="","",$H102&amp;"|"&amp;$I102)</f>
        <v/>
      </c>
    </row>
    <row r="103">
      <c r="A103" s="8" t="n"/>
      <c r="B103" s="2">
        <f>IF($A103="","",IFERROR(INDEX(Listone!$B$2:$B$532,MATCH($A103,Listone!$A$2:$A$532,0)),"?"))</f>
        <v/>
      </c>
      <c r="C103" s="2">
        <f>IF($A103="","",IFERROR(INDEX(Listone!$C$2:$C$532,MATCH($A103,Listone!$A$2:$A$532,0)),""))</f>
        <v/>
      </c>
      <c r="D103" s="2">
        <f>IF($A103="","",IFERROR(INDEX(Listone!$D$2:$D$532,MATCH($A103,Listone!$A$2:$A$532,0)),""))</f>
        <v/>
      </c>
      <c r="E103" s="2">
        <f>IF($A103="","",IFERROR(INDEX(Listone!$G$2:$G$532,MATCH($A103,Listone!$A$2:$A$532,0)),""))</f>
        <v/>
      </c>
      <c r="F103" s="8" t="n"/>
      <c r="G103" s="8" t="n"/>
      <c r="H103" s="7">
        <f>IF(OR($A103="",$F103=""),"",$F103&amp;"|"&amp;$C103)</f>
        <v/>
      </c>
      <c r="I103" s="7">
        <f>IF($H103="","",COUNTIF($H$4:$H103,$H103))</f>
        <v/>
      </c>
      <c r="J103" s="7">
        <f>IF($H103="","",$H103&amp;"|"&amp;$I103)</f>
        <v/>
      </c>
    </row>
    <row r="104">
      <c r="A104" s="8" t="n"/>
      <c r="B104" s="2">
        <f>IF($A104="","",IFERROR(INDEX(Listone!$B$2:$B$532,MATCH($A104,Listone!$A$2:$A$532,0)),"?"))</f>
        <v/>
      </c>
      <c r="C104" s="2">
        <f>IF($A104="","",IFERROR(INDEX(Listone!$C$2:$C$532,MATCH($A104,Listone!$A$2:$A$532,0)),""))</f>
        <v/>
      </c>
      <c r="D104" s="2">
        <f>IF($A104="","",IFERROR(INDEX(Listone!$D$2:$D$532,MATCH($A104,Listone!$A$2:$A$532,0)),""))</f>
        <v/>
      </c>
      <c r="E104" s="2">
        <f>IF($A104="","",IFERROR(INDEX(Listone!$G$2:$G$532,MATCH($A104,Listone!$A$2:$A$532,0)),""))</f>
        <v/>
      </c>
      <c r="F104" s="8" t="n"/>
      <c r="G104" s="8" t="n"/>
      <c r="H104" s="7">
        <f>IF(OR($A104="",$F104=""),"",$F104&amp;"|"&amp;$C104)</f>
        <v/>
      </c>
      <c r="I104" s="7">
        <f>IF($H104="","",COUNTIF($H$4:$H104,$H104))</f>
        <v/>
      </c>
      <c r="J104" s="7">
        <f>IF($H104="","",$H104&amp;"|"&amp;$I104)</f>
        <v/>
      </c>
    </row>
    <row r="105">
      <c r="A105" s="8" t="n"/>
      <c r="B105" s="2">
        <f>IF($A105="","",IFERROR(INDEX(Listone!$B$2:$B$532,MATCH($A105,Listone!$A$2:$A$532,0)),"?"))</f>
        <v/>
      </c>
      <c r="C105" s="2">
        <f>IF($A105="","",IFERROR(INDEX(Listone!$C$2:$C$532,MATCH($A105,Listone!$A$2:$A$532,0)),""))</f>
        <v/>
      </c>
      <c r="D105" s="2">
        <f>IF($A105="","",IFERROR(INDEX(Listone!$D$2:$D$532,MATCH($A105,Listone!$A$2:$A$532,0)),""))</f>
        <v/>
      </c>
      <c r="E105" s="2">
        <f>IF($A105="","",IFERROR(INDEX(Listone!$G$2:$G$532,MATCH($A105,Listone!$A$2:$A$532,0)),""))</f>
        <v/>
      </c>
      <c r="F105" s="8" t="n"/>
      <c r="G105" s="8" t="n"/>
      <c r="H105" s="7">
        <f>IF(OR($A105="",$F105=""),"",$F105&amp;"|"&amp;$C105)</f>
        <v/>
      </c>
      <c r="I105" s="7">
        <f>IF($H105="","",COUNTIF($H$4:$H105,$H105))</f>
        <v/>
      </c>
      <c r="J105" s="7">
        <f>IF($H105="","",$H105&amp;"|"&amp;$I105)</f>
        <v/>
      </c>
    </row>
    <row r="106">
      <c r="A106" s="8" t="n"/>
      <c r="B106" s="2">
        <f>IF($A106="","",IFERROR(INDEX(Listone!$B$2:$B$532,MATCH($A106,Listone!$A$2:$A$532,0)),"?"))</f>
        <v/>
      </c>
      <c r="C106" s="2">
        <f>IF($A106="","",IFERROR(INDEX(Listone!$C$2:$C$532,MATCH($A106,Listone!$A$2:$A$532,0)),""))</f>
        <v/>
      </c>
      <c r="D106" s="2">
        <f>IF($A106="","",IFERROR(INDEX(Listone!$D$2:$D$532,MATCH($A106,Listone!$A$2:$A$532,0)),""))</f>
        <v/>
      </c>
      <c r="E106" s="2">
        <f>IF($A106="","",IFERROR(INDEX(Listone!$G$2:$G$532,MATCH($A106,Listone!$A$2:$A$532,0)),""))</f>
        <v/>
      </c>
      <c r="F106" s="8" t="n"/>
      <c r="G106" s="8" t="n"/>
      <c r="H106" s="7">
        <f>IF(OR($A106="",$F106=""),"",$F106&amp;"|"&amp;$C106)</f>
        <v/>
      </c>
      <c r="I106" s="7">
        <f>IF($H106="","",COUNTIF($H$4:$H106,$H106))</f>
        <v/>
      </c>
      <c r="J106" s="7">
        <f>IF($H106="","",$H106&amp;"|"&amp;$I106)</f>
        <v/>
      </c>
    </row>
    <row r="107">
      <c r="A107" s="8" t="n"/>
      <c r="B107" s="2">
        <f>IF($A107="","",IFERROR(INDEX(Listone!$B$2:$B$532,MATCH($A107,Listone!$A$2:$A$532,0)),"?"))</f>
        <v/>
      </c>
      <c r="C107" s="2">
        <f>IF($A107="","",IFERROR(INDEX(Listone!$C$2:$C$532,MATCH($A107,Listone!$A$2:$A$532,0)),""))</f>
        <v/>
      </c>
      <c r="D107" s="2">
        <f>IF($A107="","",IFERROR(INDEX(Listone!$D$2:$D$532,MATCH($A107,Listone!$A$2:$A$532,0)),""))</f>
        <v/>
      </c>
      <c r="E107" s="2">
        <f>IF($A107="","",IFERROR(INDEX(Listone!$G$2:$G$532,MATCH($A107,Listone!$A$2:$A$532,0)),""))</f>
        <v/>
      </c>
      <c r="F107" s="8" t="n"/>
      <c r="G107" s="8" t="n"/>
      <c r="H107" s="7">
        <f>IF(OR($A107="",$F107=""),"",$F107&amp;"|"&amp;$C107)</f>
        <v/>
      </c>
      <c r="I107" s="7">
        <f>IF($H107="","",COUNTIF($H$4:$H107,$H107))</f>
        <v/>
      </c>
      <c r="J107" s="7">
        <f>IF($H107="","",$H107&amp;"|"&amp;$I107)</f>
        <v/>
      </c>
    </row>
    <row r="108">
      <c r="A108" s="8" t="n"/>
      <c r="B108" s="2">
        <f>IF($A108="","",IFERROR(INDEX(Listone!$B$2:$B$532,MATCH($A108,Listone!$A$2:$A$532,0)),"?"))</f>
        <v/>
      </c>
      <c r="C108" s="2">
        <f>IF($A108="","",IFERROR(INDEX(Listone!$C$2:$C$532,MATCH($A108,Listone!$A$2:$A$532,0)),""))</f>
        <v/>
      </c>
      <c r="D108" s="2">
        <f>IF($A108="","",IFERROR(INDEX(Listone!$D$2:$D$532,MATCH($A108,Listone!$A$2:$A$532,0)),""))</f>
        <v/>
      </c>
      <c r="E108" s="2">
        <f>IF($A108="","",IFERROR(INDEX(Listone!$G$2:$G$532,MATCH($A108,Listone!$A$2:$A$532,0)),""))</f>
        <v/>
      </c>
      <c r="F108" s="8" t="n"/>
      <c r="G108" s="8" t="n"/>
      <c r="H108" s="7">
        <f>IF(OR($A108="",$F108=""),"",$F108&amp;"|"&amp;$C108)</f>
        <v/>
      </c>
      <c r="I108" s="7">
        <f>IF($H108="","",COUNTIF($H$4:$H108,$H108))</f>
        <v/>
      </c>
      <c r="J108" s="7">
        <f>IF($H108="","",$H108&amp;"|"&amp;$I108)</f>
        <v/>
      </c>
    </row>
    <row r="109">
      <c r="A109" s="8" t="n"/>
      <c r="B109" s="2">
        <f>IF($A109="","",IFERROR(INDEX(Listone!$B$2:$B$532,MATCH($A109,Listone!$A$2:$A$532,0)),"?"))</f>
        <v/>
      </c>
      <c r="C109" s="2">
        <f>IF($A109="","",IFERROR(INDEX(Listone!$C$2:$C$532,MATCH($A109,Listone!$A$2:$A$532,0)),""))</f>
        <v/>
      </c>
      <c r="D109" s="2">
        <f>IF($A109="","",IFERROR(INDEX(Listone!$D$2:$D$532,MATCH($A109,Listone!$A$2:$A$532,0)),""))</f>
        <v/>
      </c>
      <c r="E109" s="2">
        <f>IF($A109="","",IFERROR(INDEX(Listone!$G$2:$G$532,MATCH($A109,Listone!$A$2:$A$532,0)),""))</f>
        <v/>
      </c>
      <c r="F109" s="8" t="n"/>
      <c r="G109" s="8" t="n"/>
      <c r="H109" s="7">
        <f>IF(OR($A109="",$F109=""),"",$F109&amp;"|"&amp;$C109)</f>
        <v/>
      </c>
      <c r="I109" s="7">
        <f>IF($H109="","",COUNTIF($H$4:$H109,$H109))</f>
        <v/>
      </c>
      <c r="J109" s="7">
        <f>IF($H109="","",$H109&amp;"|"&amp;$I109)</f>
        <v/>
      </c>
    </row>
    <row r="110">
      <c r="A110" s="8" t="n"/>
      <c r="B110" s="2">
        <f>IF($A110="","",IFERROR(INDEX(Listone!$B$2:$B$532,MATCH($A110,Listone!$A$2:$A$532,0)),"?"))</f>
        <v/>
      </c>
      <c r="C110" s="2">
        <f>IF($A110="","",IFERROR(INDEX(Listone!$C$2:$C$532,MATCH($A110,Listone!$A$2:$A$532,0)),""))</f>
        <v/>
      </c>
      <c r="D110" s="2">
        <f>IF($A110="","",IFERROR(INDEX(Listone!$D$2:$D$532,MATCH($A110,Listone!$A$2:$A$532,0)),""))</f>
        <v/>
      </c>
      <c r="E110" s="2">
        <f>IF($A110="","",IFERROR(INDEX(Listone!$G$2:$G$532,MATCH($A110,Listone!$A$2:$A$532,0)),""))</f>
        <v/>
      </c>
      <c r="F110" s="8" t="n"/>
      <c r="G110" s="8" t="n"/>
      <c r="H110" s="7">
        <f>IF(OR($A110="",$F110=""),"",$F110&amp;"|"&amp;$C110)</f>
        <v/>
      </c>
      <c r="I110" s="7">
        <f>IF($H110="","",COUNTIF($H$4:$H110,$H110))</f>
        <v/>
      </c>
      <c r="J110" s="7">
        <f>IF($H110="","",$H110&amp;"|"&amp;$I110)</f>
        <v/>
      </c>
    </row>
    <row r="111">
      <c r="A111" s="8" t="n"/>
      <c r="B111" s="2">
        <f>IF($A111="","",IFERROR(INDEX(Listone!$B$2:$B$532,MATCH($A111,Listone!$A$2:$A$532,0)),"?"))</f>
        <v/>
      </c>
      <c r="C111" s="2">
        <f>IF($A111="","",IFERROR(INDEX(Listone!$C$2:$C$532,MATCH($A111,Listone!$A$2:$A$532,0)),""))</f>
        <v/>
      </c>
      <c r="D111" s="2">
        <f>IF($A111="","",IFERROR(INDEX(Listone!$D$2:$D$532,MATCH($A111,Listone!$A$2:$A$532,0)),""))</f>
        <v/>
      </c>
      <c r="E111" s="2">
        <f>IF($A111="","",IFERROR(INDEX(Listone!$G$2:$G$532,MATCH($A111,Listone!$A$2:$A$532,0)),""))</f>
        <v/>
      </c>
      <c r="F111" s="8" t="n"/>
      <c r="G111" s="8" t="n"/>
      <c r="H111" s="7">
        <f>IF(OR($A111="",$F111=""),"",$F111&amp;"|"&amp;$C111)</f>
        <v/>
      </c>
      <c r="I111" s="7">
        <f>IF($H111="","",COUNTIF($H$4:$H111,$H111))</f>
        <v/>
      </c>
      <c r="J111" s="7">
        <f>IF($H111="","",$H111&amp;"|"&amp;$I111)</f>
        <v/>
      </c>
    </row>
    <row r="112">
      <c r="A112" s="8" t="n"/>
      <c r="B112" s="2">
        <f>IF($A112="","",IFERROR(INDEX(Listone!$B$2:$B$532,MATCH($A112,Listone!$A$2:$A$532,0)),"?"))</f>
        <v/>
      </c>
      <c r="C112" s="2">
        <f>IF($A112="","",IFERROR(INDEX(Listone!$C$2:$C$532,MATCH($A112,Listone!$A$2:$A$532,0)),""))</f>
        <v/>
      </c>
      <c r="D112" s="2">
        <f>IF($A112="","",IFERROR(INDEX(Listone!$D$2:$D$532,MATCH($A112,Listone!$A$2:$A$532,0)),""))</f>
        <v/>
      </c>
      <c r="E112" s="2">
        <f>IF($A112="","",IFERROR(INDEX(Listone!$G$2:$G$532,MATCH($A112,Listone!$A$2:$A$532,0)),""))</f>
        <v/>
      </c>
      <c r="F112" s="8" t="n"/>
      <c r="G112" s="8" t="n"/>
      <c r="H112" s="7">
        <f>IF(OR($A112="",$F112=""),"",$F112&amp;"|"&amp;$C112)</f>
        <v/>
      </c>
      <c r="I112" s="7">
        <f>IF($H112="","",COUNTIF($H$4:$H112,$H112))</f>
        <v/>
      </c>
      <c r="J112" s="7">
        <f>IF($H112="","",$H112&amp;"|"&amp;$I112)</f>
        <v/>
      </c>
    </row>
    <row r="113">
      <c r="A113" s="8" t="n"/>
      <c r="B113" s="2">
        <f>IF($A113="","",IFERROR(INDEX(Listone!$B$2:$B$532,MATCH($A113,Listone!$A$2:$A$532,0)),"?"))</f>
        <v/>
      </c>
      <c r="C113" s="2">
        <f>IF($A113="","",IFERROR(INDEX(Listone!$C$2:$C$532,MATCH($A113,Listone!$A$2:$A$532,0)),""))</f>
        <v/>
      </c>
      <c r="D113" s="2">
        <f>IF($A113="","",IFERROR(INDEX(Listone!$D$2:$D$532,MATCH($A113,Listone!$A$2:$A$532,0)),""))</f>
        <v/>
      </c>
      <c r="E113" s="2">
        <f>IF($A113="","",IFERROR(INDEX(Listone!$G$2:$G$532,MATCH($A113,Listone!$A$2:$A$532,0)),""))</f>
        <v/>
      </c>
      <c r="F113" s="8" t="n"/>
      <c r="G113" s="8" t="n"/>
      <c r="H113" s="7">
        <f>IF(OR($A113="",$F113=""),"",$F113&amp;"|"&amp;$C113)</f>
        <v/>
      </c>
      <c r="I113" s="7">
        <f>IF($H113="","",COUNTIF($H$4:$H113,$H113))</f>
        <v/>
      </c>
      <c r="J113" s="7">
        <f>IF($H113="","",$H113&amp;"|"&amp;$I113)</f>
        <v/>
      </c>
    </row>
    <row r="114">
      <c r="A114" s="8" t="n"/>
      <c r="B114" s="2">
        <f>IF($A114="","",IFERROR(INDEX(Listone!$B$2:$B$532,MATCH($A114,Listone!$A$2:$A$532,0)),"?"))</f>
        <v/>
      </c>
      <c r="C114" s="2">
        <f>IF($A114="","",IFERROR(INDEX(Listone!$C$2:$C$532,MATCH($A114,Listone!$A$2:$A$532,0)),""))</f>
        <v/>
      </c>
      <c r="D114" s="2">
        <f>IF($A114="","",IFERROR(INDEX(Listone!$D$2:$D$532,MATCH($A114,Listone!$A$2:$A$532,0)),""))</f>
        <v/>
      </c>
      <c r="E114" s="2">
        <f>IF($A114="","",IFERROR(INDEX(Listone!$G$2:$G$532,MATCH($A114,Listone!$A$2:$A$532,0)),""))</f>
        <v/>
      </c>
      <c r="F114" s="8" t="n"/>
      <c r="G114" s="8" t="n"/>
      <c r="H114" s="7">
        <f>IF(OR($A114="",$F114=""),"",$F114&amp;"|"&amp;$C114)</f>
        <v/>
      </c>
      <c r="I114" s="7">
        <f>IF($H114="","",COUNTIF($H$4:$H114,$H114))</f>
        <v/>
      </c>
      <c r="J114" s="7">
        <f>IF($H114="","",$H114&amp;"|"&amp;$I114)</f>
        <v/>
      </c>
    </row>
    <row r="115">
      <c r="A115" s="8" t="n"/>
      <c r="B115" s="2">
        <f>IF($A115="","",IFERROR(INDEX(Listone!$B$2:$B$532,MATCH($A115,Listone!$A$2:$A$532,0)),"?"))</f>
        <v/>
      </c>
      <c r="C115" s="2">
        <f>IF($A115="","",IFERROR(INDEX(Listone!$C$2:$C$532,MATCH($A115,Listone!$A$2:$A$532,0)),""))</f>
        <v/>
      </c>
      <c r="D115" s="2">
        <f>IF($A115="","",IFERROR(INDEX(Listone!$D$2:$D$532,MATCH($A115,Listone!$A$2:$A$532,0)),""))</f>
        <v/>
      </c>
      <c r="E115" s="2">
        <f>IF($A115="","",IFERROR(INDEX(Listone!$G$2:$G$532,MATCH($A115,Listone!$A$2:$A$532,0)),""))</f>
        <v/>
      </c>
      <c r="F115" s="8" t="n"/>
      <c r="G115" s="8" t="n"/>
      <c r="H115" s="7">
        <f>IF(OR($A115="",$F115=""),"",$F115&amp;"|"&amp;$C115)</f>
        <v/>
      </c>
      <c r="I115" s="7">
        <f>IF($H115="","",COUNTIF($H$4:$H115,$H115))</f>
        <v/>
      </c>
      <c r="J115" s="7">
        <f>IF($H115="","",$H115&amp;"|"&amp;$I115)</f>
        <v/>
      </c>
    </row>
    <row r="116">
      <c r="A116" s="8" t="n"/>
      <c r="B116" s="2">
        <f>IF($A116="","",IFERROR(INDEX(Listone!$B$2:$B$532,MATCH($A116,Listone!$A$2:$A$532,0)),"?"))</f>
        <v/>
      </c>
      <c r="C116" s="2">
        <f>IF($A116="","",IFERROR(INDEX(Listone!$C$2:$C$532,MATCH($A116,Listone!$A$2:$A$532,0)),""))</f>
        <v/>
      </c>
      <c r="D116" s="2">
        <f>IF($A116="","",IFERROR(INDEX(Listone!$D$2:$D$532,MATCH($A116,Listone!$A$2:$A$532,0)),""))</f>
        <v/>
      </c>
      <c r="E116" s="2">
        <f>IF($A116="","",IFERROR(INDEX(Listone!$G$2:$G$532,MATCH($A116,Listone!$A$2:$A$532,0)),""))</f>
        <v/>
      </c>
      <c r="F116" s="8" t="n"/>
      <c r="G116" s="8" t="n"/>
      <c r="H116" s="7">
        <f>IF(OR($A116="",$F116=""),"",$F116&amp;"|"&amp;$C116)</f>
        <v/>
      </c>
      <c r="I116" s="7">
        <f>IF($H116="","",COUNTIF($H$4:$H116,$H116))</f>
        <v/>
      </c>
      <c r="J116" s="7">
        <f>IF($H116="","",$H116&amp;"|"&amp;$I116)</f>
        <v/>
      </c>
    </row>
    <row r="117">
      <c r="A117" s="8" t="n"/>
      <c r="B117" s="2">
        <f>IF($A117="","",IFERROR(INDEX(Listone!$B$2:$B$532,MATCH($A117,Listone!$A$2:$A$532,0)),"?"))</f>
        <v/>
      </c>
      <c r="C117" s="2">
        <f>IF($A117="","",IFERROR(INDEX(Listone!$C$2:$C$532,MATCH($A117,Listone!$A$2:$A$532,0)),""))</f>
        <v/>
      </c>
      <c r="D117" s="2">
        <f>IF($A117="","",IFERROR(INDEX(Listone!$D$2:$D$532,MATCH($A117,Listone!$A$2:$A$532,0)),""))</f>
        <v/>
      </c>
      <c r="E117" s="2">
        <f>IF($A117="","",IFERROR(INDEX(Listone!$G$2:$G$532,MATCH($A117,Listone!$A$2:$A$532,0)),""))</f>
        <v/>
      </c>
      <c r="F117" s="8" t="n"/>
      <c r="G117" s="8" t="n"/>
      <c r="H117" s="7">
        <f>IF(OR($A117="",$F117=""),"",$F117&amp;"|"&amp;$C117)</f>
        <v/>
      </c>
      <c r="I117" s="7">
        <f>IF($H117="","",COUNTIF($H$4:$H117,$H117))</f>
        <v/>
      </c>
      <c r="J117" s="7">
        <f>IF($H117="","",$H117&amp;"|"&amp;$I117)</f>
        <v/>
      </c>
    </row>
    <row r="118">
      <c r="A118" s="8" t="n"/>
      <c r="B118" s="2">
        <f>IF($A118="","",IFERROR(INDEX(Listone!$B$2:$B$532,MATCH($A118,Listone!$A$2:$A$532,0)),"?"))</f>
        <v/>
      </c>
      <c r="C118" s="2">
        <f>IF($A118="","",IFERROR(INDEX(Listone!$C$2:$C$532,MATCH($A118,Listone!$A$2:$A$532,0)),""))</f>
        <v/>
      </c>
      <c r="D118" s="2">
        <f>IF($A118="","",IFERROR(INDEX(Listone!$D$2:$D$532,MATCH($A118,Listone!$A$2:$A$532,0)),""))</f>
        <v/>
      </c>
      <c r="E118" s="2">
        <f>IF($A118="","",IFERROR(INDEX(Listone!$G$2:$G$532,MATCH($A118,Listone!$A$2:$A$532,0)),""))</f>
        <v/>
      </c>
      <c r="F118" s="8" t="n"/>
      <c r="G118" s="8" t="n"/>
      <c r="H118" s="7">
        <f>IF(OR($A118="",$F118=""),"",$F118&amp;"|"&amp;$C118)</f>
        <v/>
      </c>
      <c r="I118" s="7">
        <f>IF($H118="","",COUNTIF($H$4:$H118,$H118))</f>
        <v/>
      </c>
      <c r="J118" s="7">
        <f>IF($H118="","",$H118&amp;"|"&amp;$I118)</f>
        <v/>
      </c>
    </row>
    <row r="119">
      <c r="A119" s="8" t="n"/>
      <c r="B119" s="2">
        <f>IF($A119="","",IFERROR(INDEX(Listone!$B$2:$B$532,MATCH($A119,Listone!$A$2:$A$532,0)),"?"))</f>
        <v/>
      </c>
      <c r="C119" s="2">
        <f>IF($A119="","",IFERROR(INDEX(Listone!$C$2:$C$532,MATCH($A119,Listone!$A$2:$A$532,0)),""))</f>
        <v/>
      </c>
      <c r="D119" s="2">
        <f>IF($A119="","",IFERROR(INDEX(Listone!$D$2:$D$532,MATCH($A119,Listone!$A$2:$A$532,0)),""))</f>
        <v/>
      </c>
      <c r="E119" s="2">
        <f>IF($A119="","",IFERROR(INDEX(Listone!$G$2:$G$532,MATCH($A119,Listone!$A$2:$A$532,0)),""))</f>
        <v/>
      </c>
      <c r="F119" s="8" t="n"/>
      <c r="G119" s="8" t="n"/>
      <c r="H119" s="7">
        <f>IF(OR($A119="",$F119=""),"",$F119&amp;"|"&amp;$C119)</f>
        <v/>
      </c>
      <c r="I119" s="7">
        <f>IF($H119="","",COUNTIF($H$4:$H119,$H119))</f>
        <v/>
      </c>
      <c r="J119" s="7">
        <f>IF($H119="","",$H119&amp;"|"&amp;$I119)</f>
        <v/>
      </c>
    </row>
    <row r="120">
      <c r="A120" s="8" t="n"/>
      <c r="B120" s="2">
        <f>IF($A120="","",IFERROR(INDEX(Listone!$B$2:$B$532,MATCH($A120,Listone!$A$2:$A$532,0)),"?"))</f>
        <v/>
      </c>
      <c r="C120" s="2">
        <f>IF($A120="","",IFERROR(INDEX(Listone!$C$2:$C$532,MATCH($A120,Listone!$A$2:$A$532,0)),""))</f>
        <v/>
      </c>
      <c r="D120" s="2">
        <f>IF($A120="","",IFERROR(INDEX(Listone!$D$2:$D$532,MATCH($A120,Listone!$A$2:$A$532,0)),""))</f>
        <v/>
      </c>
      <c r="E120" s="2">
        <f>IF($A120="","",IFERROR(INDEX(Listone!$G$2:$G$532,MATCH($A120,Listone!$A$2:$A$532,0)),""))</f>
        <v/>
      </c>
      <c r="F120" s="8" t="n"/>
      <c r="G120" s="8" t="n"/>
      <c r="H120" s="7">
        <f>IF(OR($A120="",$F120=""),"",$F120&amp;"|"&amp;$C120)</f>
        <v/>
      </c>
      <c r="I120" s="7">
        <f>IF($H120="","",COUNTIF($H$4:$H120,$H120))</f>
        <v/>
      </c>
      <c r="J120" s="7">
        <f>IF($H120="","",$H120&amp;"|"&amp;$I120)</f>
        <v/>
      </c>
    </row>
    <row r="121">
      <c r="A121" s="8" t="n"/>
      <c r="B121" s="2">
        <f>IF($A121="","",IFERROR(INDEX(Listone!$B$2:$B$532,MATCH($A121,Listone!$A$2:$A$532,0)),"?"))</f>
        <v/>
      </c>
      <c r="C121" s="2">
        <f>IF($A121="","",IFERROR(INDEX(Listone!$C$2:$C$532,MATCH($A121,Listone!$A$2:$A$532,0)),""))</f>
        <v/>
      </c>
      <c r="D121" s="2">
        <f>IF($A121="","",IFERROR(INDEX(Listone!$D$2:$D$532,MATCH($A121,Listone!$A$2:$A$532,0)),""))</f>
        <v/>
      </c>
      <c r="E121" s="2">
        <f>IF($A121="","",IFERROR(INDEX(Listone!$G$2:$G$532,MATCH($A121,Listone!$A$2:$A$532,0)),""))</f>
        <v/>
      </c>
      <c r="F121" s="8" t="n"/>
      <c r="G121" s="8" t="n"/>
      <c r="H121" s="7">
        <f>IF(OR($A121="",$F121=""),"",$F121&amp;"|"&amp;$C121)</f>
        <v/>
      </c>
      <c r="I121" s="7">
        <f>IF($H121="","",COUNTIF($H$4:$H121,$H121))</f>
        <v/>
      </c>
      <c r="J121" s="7">
        <f>IF($H121="","",$H121&amp;"|"&amp;$I121)</f>
        <v/>
      </c>
    </row>
    <row r="122">
      <c r="A122" s="8" t="n"/>
      <c r="B122" s="2">
        <f>IF($A122="","",IFERROR(INDEX(Listone!$B$2:$B$532,MATCH($A122,Listone!$A$2:$A$532,0)),"?"))</f>
        <v/>
      </c>
      <c r="C122" s="2">
        <f>IF($A122="","",IFERROR(INDEX(Listone!$C$2:$C$532,MATCH($A122,Listone!$A$2:$A$532,0)),""))</f>
        <v/>
      </c>
      <c r="D122" s="2">
        <f>IF($A122="","",IFERROR(INDEX(Listone!$D$2:$D$532,MATCH($A122,Listone!$A$2:$A$532,0)),""))</f>
        <v/>
      </c>
      <c r="E122" s="2">
        <f>IF($A122="","",IFERROR(INDEX(Listone!$G$2:$G$532,MATCH($A122,Listone!$A$2:$A$532,0)),""))</f>
        <v/>
      </c>
      <c r="F122" s="8" t="n"/>
      <c r="G122" s="8" t="n"/>
      <c r="H122" s="7">
        <f>IF(OR($A122="",$F122=""),"",$F122&amp;"|"&amp;$C122)</f>
        <v/>
      </c>
      <c r="I122" s="7">
        <f>IF($H122="","",COUNTIF($H$4:$H122,$H122))</f>
        <v/>
      </c>
      <c r="J122" s="7">
        <f>IF($H122="","",$H122&amp;"|"&amp;$I122)</f>
        <v/>
      </c>
    </row>
    <row r="123">
      <c r="A123" s="8" t="n"/>
      <c r="B123" s="2">
        <f>IF($A123="","",IFERROR(INDEX(Listone!$B$2:$B$532,MATCH($A123,Listone!$A$2:$A$532,0)),"?"))</f>
        <v/>
      </c>
      <c r="C123" s="2">
        <f>IF($A123="","",IFERROR(INDEX(Listone!$C$2:$C$532,MATCH($A123,Listone!$A$2:$A$532,0)),""))</f>
        <v/>
      </c>
      <c r="D123" s="2">
        <f>IF($A123="","",IFERROR(INDEX(Listone!$D$2:$D$532,MATCH($A123,Listone!$A$2:$A$532,0)),""))</f>
        <v/>
      </c>
      <c r="E123" s="2">
        <f>IF($A123="","",IFERROR(INDEX(Listone!$G$2:$G$532,MATCH($A123,Listone!$A$2:$A$532,0)),""))</f>
        <v/>
      </c>
      <c r="F123" s="8" t="n"/>
      <c r="G123" s="8" t="n"/>
      <c r="H123" s="7">
        <f>IF(OR($A123="",$F123=""),"",$F123&amp;"|"&amp;$C123)</f>
        <v/>
      </c>
      <c r="I123" s="7">
        <f>IF($H123="","",COUNTIF($H$4:$H123,$H123))</f>
        <v/>
      </c>
      <c r="J123" s="7">
        <f>IF($H123="","",$H123&amp;"|"&amp;$I123)</f>
        <v/>
      </c>
    </row>
    <row r="124">
      <c r="A124" s="8" t="n"/>
      <c r="B124" s="2">
        <f>IF($A124="","",IFERROR(INDEX(Listone!$B$2:$B$532,MATCH($A124,Listone!$A$2:$A$532,0)),"?"))</f>
        <v/>
      </c>
      <c r="C124" s="2">
        <f>IF($A124="","",IFERROR(INDEX(Listone!$C$2:$C$532,MATCH($A124,Listone!$A$2:$A$532,0)),""))</f>
        <v/>
      </c>
      <c r="D124" s="2">
        <f>IF($A124="","",IFERROR(INDEX(Listone!$D$2:$D$532,MATCH($A124,Listone!$A$2:$A$532,0)),""))</f>
        <v/>
      </c>
      <c r="E124" s="2">
        <f>IF($A124="","",IFERROR(INDEX(Listone!$G$2:$G$532,MATCH($A124,Listone!$A$2:$A$532,0)),""))</f>
        <v/>
      </c>
      <c r="F124" s="8" t="n"/>
      <c r="G124" s="8" t="n"/>
      <c r="H124" s="7">
        <f>IF(OR($A124="",$F124=""),"",$F124&amp;"|"&amp;$C124)</f>
        <v/>
      </c>
      <c r="I124" s="7">
        <f>IF($H124="","",COUNTIF($H$4:$H124,$H124))</f>
        <v/>
      </c>
      <c r="J124" s="7">
        <f>IF($H124="","",$H124&amp;"|"&amp;$I124)</f>
        <v/>
      </c>
    </row>
    <row r="125">
      <c r="A125" s="8" t="n"/>
      <c r="B125" s="2">
        <f>IF($A125="","",IFERROR(INDEX(Listone!$B$2:$B$532,MATCH($A125,Listone!$A$2:$A$532,0)),"?"))</f>
        <v/>
      </c>
      <c r="C125" s="2">
        <f>IF($A125="","",IFERROR(INDEX(Listone!$C$2:$C$532,MATCH($A125,Listone!$A$2:$A$532,0)),""))</f>
        <v/>
      </c>
      <c r="D125" s="2">
        <f>IF($A125="","",IFERROR(INDEX(Listone!$D$2:$D$532,MATCH($A125,Listone!$A$2:$A$532,0)),""))</f>
        <v/>
      </c>
      <c r="E125" s="2">
        <f>IF($A125="","",IFERROR(INDEX(Listone!$G$2:$G$532,MATCH($A125,Listone!$A$2:$A$532,0)),""))</f>
        <v/>
      </c>
      <c r="F125" s="8" t="n"/>
      <c r="G125" s="8" t="n"/>
      <c r="H125" s="7">
        <f>IF(OR($A125="",$F125=""),"",$F125&amp;"|"&amp;$C125)</f>
        <v/>
      </c>
      <c r="I125" s="7">
        <f>IF($H125="","",COUNTIF($H$4:$H125,$H125))</f>
        <v/>
      </c>
      <c r="J125" s="7">
        <f>IF($H125="","",$H125&amp;"|"&amp;$I125)</f>
        <v/>
      </c>
    </row>
    <row r="126">
      <c r="A126" s="8" t="n"/>
      <c r="B126" s="2">
        <f>IF($A126="","",IFERROR(INDEX(Listone!$B$2:$B$532,MATCH($A126,Listone!$A$2:$A$532,0)),"?"))</f>
        <v/>
      </c>
      <c r="C126" s="2">
        <f>IF($A126="","",IFERROR(INDEX(Listone!$C$2:$C$532,MATCH($A126,Listone!$A$2:$A$532,0)),""))</f>
        <v/>
      </c>
      <c r="D126" s="2">
        <f>IF($A126="","",IFERROR(INDEX(Listone!$D$2:$D$532,MATCH($A126,Listone!$A$2:$A$532,0)),""))</f>
        <v/>
      </c>
      <c r="E126" s="2">
        <f>IF($A126="","",IFERROR(INDEX(Listone!$G$2:$G$532,MATCH($A126,Listone!$A$2:$A$532,0)),""))</f>
        <v/>
      </c>
      <c r="F126" s="8" t="n"/>
      <c r="G126" s="8" t="n"/>
      <c r="H126" s="7">
        <f>IF(OR($A126="",$F126=""),"",$F126&amp;"|"&amp;$C126)</f>
        <v/>
      </c>
      <c r="I126" s="7">
        <f>IF($H126="","",COUNTIF($H$4:$H126,$H126))</f>
        <v/>
      </c>
      <c r="J126" s="7">
        <f>IF($H126="","",$H126&amp;"|"&amp;$I126)</f>
        <v/>
      </c>
    </row>
    <row r="127">
      <c r="A127" s="8" t="n"/>
      <c r="B127" s="2">
        <f>IF($A127="","",IFERROR(INDEX(Listone!$B$2:$B$532,MATCH($A127,Listone!$A$2:$A$532,0)),"?"))</f>
        <v/>
      </c>
      <c r="C127" s="2">
        <f>IF($A127="","",IFERROR(INDEX(Listone!$C$2:$C$532,MATCH($A127,Listone!$A$2:$A$532,0)),""))</f>
        <v/>
      </c>
      <c r="D127" s="2">
        <f>IF($A127="","",IFERROR(INDEX(Listone!$D$2:$D$532,MATCH($A127,Listone!$A$2:$A$532,0)),""))</f>
        <v/>
      </c>
      <c r="E127" s="2">
        <f>IF($A127="","",IFERROR(INDEX(Listone!$G$2:$G$532,MATCH($A127,Listone!$A$2:$A$532,0)),""))</f>
        <v/>
      </c>
      <c r="F127" s="8" t="n"/>
      <c r="G127" s="8" t="n"/>
      <c r="H127" s="7">
        <f>IF(OR($A127="",$F127=""),"",$F127&amp;"|"&amp;$C127)</f>
        <v/>
      </c>
      <c r="I127" s="7">
        <f>IF($H127="","",COUNTIF($H$4:$H127,$H127))</f>
        <v/>
      </c>
      <c r="J127" s="7">
        <f>IF($H127="","",$H127&amp;"|"&amp;$I127)</f>
        <v/>
      </c>
    </row>
    <row r="128">
      <c r="A128" s="8" t="n"/>
      <c r="B128" s="2">
        <f>IF($A128="","",IFERROR(INDEX(Listone!$B$2:$B$532,MATCH($A128,Listone!$A$2:$A$532,0)),"?"))</f>
        <v/>
      </c>
      <c r="C128" s="2">
        <f>IF($A128="","",IFERROR(INDEX(Listone!$C$2:$C$532,MATCH($A128,Listone!$A$2:$A$532,0)),""))</f>
        <v/>
      </c>
      <c r="D128" s="2">
        <f>IF($A128="","",IFERROR(INDEX(Listone!$D$2:$D$532,MATCH($A128,Listone!$A$2:$A$532,0)),""))</f>
        <v/>
      </c>
      <c r="E128" s="2">
        <f>IF($A128="","",IFERROR(INDEX(Listone!$G$2:$G$532,MATCH($A128,Listone!$A$2:$A$532,0)),""))</f>
        <v/>
      </c>
      <c r="F128" s="8" t="n"/>
      <c r="G128" s="8" t="n"/>
      <c r="H128" s="7">
        <f>IF(OR($A128="",$F128=""),"",$F128&amp;"|"&amp;$C128)</f>
        <v/>
      </c>
      <c r="I128" s="7">
        <f>IF($H128="","",COUNTIF($H$4:$H128,$H128))</f>
        <v/>
      </c>
      <c r="J128" s="7">
        <f>IF($H128="","",$H128&amp;"|"&amp;$I128)</f>
        <v/>
      </c>
    </row>
    <row r="129">
      <c r="A129" s="8" t="n"/>
      <c r="B129" s="2">
        <f>IF($A129="","",IFERROR(INDEX(Listone!$B$2:$B$532,MATCH($A129,Listone!$A$2:$A$532,0)),"?"))</f>
        <v/>
      </c>
      <c r="C129" s="2">
        <f>IF($A129="","",IFERROR(INDEX(Listone!$C$2:$C$532,MATCH($A129,Listone!$A$2:$A$532,0)),""))</f>
        <v/>
      </c>
      <c r="D129" s="2">
        <f>IF($A129="","",IFERROR(INDEX(Listone!$D$2:$D$532,MATCH($A129,Listone!$A$2:$A$532,0)),""))</f>
        <v/>
      </c>
      <c r="E129" s="2">
        <f>IF($A129="","",IFERROR(INDEX(Listone!$G$2:$G$532,MATCH($A129,Listone!$A$2:$A$532,0)),""))</f>
        <v/>
      </c>
      <c r="F129" s="8" t="n"/>
      <c r="G129" s="8" t="n"/>
      <c r="H129" s="7">
        <f>IF(OR($A129="",$F129=""),"",$F129&amp;"|"&amp;$C129)</f>
        <v/>
      </c>
      <c r="I129" s="7">
        <f>IF($H129="","",COUNTIF($H$4:$H129,$H129))</f>
        <v/>
      </c>
      <c r="J129" s="7">
        <f>IF($H129="","",$H129&amp;"|"&amp;$I129)</f>
        <v/>
      </c>
    </row>
    <row r="130">
      <c r="A130" s="8" t="n"/>
      <c r="B130" s="2">
        <f>IF($A130="","",IFERROR(INDEX(Listone!$B$2:$B$532,MATCH($A130,Listone!$A$2:$A$532,0)),"?"))</f>
        <v/>
      </c>
      <c r="C130" s="2">
        <f>IF($A130="","",IFERROR(INDEX(Listone!$C$2:$C$532,MATCH($A130,Listone!$A$2:$A$532,0)),""))</f>
        <v/>
      </c>
      <c r="D130" s="2">
        <f>IF($A130="","",IFERROR(INDEX(Listone!$D$2:$D$532,MATCH($A130,Listone!$A$2:$A$532,0)),""))</f>
        <v/>
      </c>
      <c r="E130" s="2">
        <f>IF($A130="","",IFERROR(INDEX(Listone!$G$2:$G$532,MATCH($A130,Listone!$A$2:$A$532,0)),""))</f>
        <v/>
      </c>
      <c r="F130" s="8" t="n"/>
      <c r="G130" s="8" t="n"/>
      <c r="H130" s="7">
        <f>IF(OR($A130="",$F130=""),"",$F130&amp;"|"&amp;$C130)</f>
        <v/>
      </c>
      <c r="I130" s="7">
        <f>IF($H130="","",COUNTIF($H$4:$H130,$H130))</f>
        <v/>
      </c>
      <c r="J130" s="7">
        <f>IF($H130="","",$H130&amp;"|"&amp;$I130)</f>
        <v/>
      </c>
    </row>
    <row r="131">
      <c r="A131" s="8" t="n"/>
      <c r="B131" s="2">
        <f>IF($A131="","",IFERROR(INDEX(Listone!$B$2:$B$532,MATCH($A131,Listone!$A$2:$A$532,0)),"?"))</f>
        <v/>
      </c>
      <c r="C131" s="2">
        <f>IF($A131="","",IFERROR(INDEX(Listone!$C$2:$C$532,MATCH($A131,Listone!$A$2:$A$532,0)),""))</f>
        <v/>
      </c>
      <c r="D131" s="2">
        <f>IF($A131="","",IFERROR(INDEX(Listone!$D$2:$D$532,MATCH($A131,Listone!$A$2:$A$532,0)),""))</f>
        <v/>
      </c>
      <c r="E131" s="2">
        <f>IF($A131="","",IFERROR(INDEX(Listone!$G$2:$G$532,MATCH($A131,Listone!$A$2:$A$532,0)),""))</f>
        <v/>
      </c>
      <c r="F131" s="8" t="n"/>
      <c r="G131" s="8" t="n"/>
      <c r="H131" s="7">
        <f>IF(OR($A131="",$F131=""),"",$F131&amp;"|"&amp;$C131)</f>
        <v/>
      </c>
      <c r="I131" s="7">
        <f>IF($H131="","",COUNTIF($H$4:$H131,$H131))</f>
        <v/>
      </c>
      <c r="J131" s="7">
        <f>IF($H131="","",$H131&amp;"|"&amp;$I131)</f>
        <v/>
      </c>
    </row>
    <row r="132">
      <c r="A132" s="8" t="n"/>
      <c r="B132" s="2">
        <f>IF($A132="","",IFERROR(INDEX(Listone!$B$2:$B$532,MATCH($A132,Listone!$A$2:$A$532,0)),"?"))</f>
        <v/>
      </c>
      <c r="C132" s="2">
        <f>IF($A132="","",IFERROR(INDEX(Listone!$C$2:$C$532,MATCH($A132,Listone!$A$2:$A$532,0)),""))</f>
        <v/>
      </c>
      <c r="D132" s="2">
        <f>IF($A132="","",IFERROR(INDEX(Listone!$D$2:$D$532,MATCH($A132,Listone!$A$2:$A$532,0)),""))</f>
        <v/>
      </c>
      <c r="E132" s="2">
        <f>IF($A132="","",IFERROR(INDEX(Listone!$G$2:$G$532,MATCH($A132,Listone!$A$2:$A$532,0)),""))</f>
        <v/>
      </c>
      <c r="F132" s="8" t="n"/>
      <c r="G132" s="8" t="n"/>
      <c r="H132" s="7">
        <f>IF(OR($A132="",$F132=""),"",$F132&amp;"|"&amp;$C132)</f>
        <v/>
      </c>
      <c r="I132" s="7">
        <f>IF($H132="","",COUNTIF($H$4:$H132,$H132))</f>
        <v/>
      </c>
      <c r="J132" s="7">
        <f>IF($H132="","",$H132&amp;"|"&amp;$I132)</f>
        <v/>
      </c>
    </row>
    <row r="133">
      <c r="A133" s="8" t="n"/>
      <c r="B133" s="2">
        <f>IF($A133="","",IFERROR(INDEX(Listone!$B$2:$B$532,MATCH($A133,Listone!$A$2:$A$532,0)),"?"))</f>
        <v/>
      </c>
      <c r="C133" s="2">
        <f>IF($A133="","",IFERROR(INDEX(Listone!$C$2:$C$532,MATCH($A133,Listone!$A$2:$A$532,0)),""))</f>
        <v/>
      </c>
      <c r="D133" s="2">
        <f>IF($A133="","",IFERROR(INDEX(Listone!$D$2:$D$532,MATCH($A133,Listone!$A$2:$A$532,0)),""))</f>
        <v/>
      </c>
      <c r="E133" s="2">
        <f>IF($A133="","",IFERROR(INDEX(Listone!$G$2:$G$532,MATCH($A133,Listone!$A$2:$A$532,0)),""))</f>
        <v/>
      </c>
      <c r="F133" s="8" t="n"/>
      <c r="G133" s="8" t="n"/>
      <c r="H133" s="7">
        <f>IF(OR($A133="",$F133=""),"",$F133&amp;"|"&amp;$C133)</f>
        <v/>
      </c>
      <c r="I133" s="7">
        <f>IF($H133="","",COUNTIF($H$4:$H133,$H133))</f>
        <v/>
      </c>
      <c r="J133" s="7">
        <f>IF($H133="","",$H133&amp;"|"&amp;$I133)</f>
        <v/>
      </c>
    </row>
    <row r="134">
      <c r="A134" s="8" t="n"/>
      <c r="B134" s="2">
        <f>IF($A134="","",IFERROR(INDEX(Listone!$B$2:$B$532,MATCH($A134,Listone!$A$2:$A$532,0)),"?"))</f>
        <v/>
      </c>
      <c r="C134" s="2">
        <f>IF($A134="","",IFERROR(INDEX(Listone!$C$2:$C$532,MATCH($A134,Listone!$A$2:$A$532,0)),""))</f>
        <v/>
      </c>
      <c r="D134" s="2">
        <f>IF($A134="","",IFERROR(INDEX(Listone!$D$2:$D$532,MATCH($A134,Listone!$A$2:$A$532,0)),""))</f>
        <v/>
      </c>
      <c r="E134" s="2">
        <f>IF($A134="","",IFERROR(INDEX(Listone!$G$2:$G$532,MATCH($A134,Listone!$A$2:$A$532,0)),""))</f>
        <v/>
      </c>
      <c r="F134" s="8" t="n"/>
      <c r="G134" s="8" t="n"/>
      <c r="H134" s="7">
        <f>IF(OR($A134="",$F134=""),"",$F134&amp;"|"&amp;$C134)</f>
        <v/>
      </c>
      <c r="I134" s="7">
        <f>IF($H134="","",COUNTIF($H$4:$H134,$H134))</f>
        <v/>
      </c>
      <c r="J134" s="7">
        <f>IF($H134="","",$H134&amp;"|"&amp;$I134)</f>
        <v/>
      </c>
    </row>
    <row r="135">
      <c r="A135" s="8" t="n"/>
      <c r="B135" s="2">
        <f>IF($A135="","",IFERROR(INDEX(Listone!$B$2:$B$532,MATCH($A135,Listone!$A$2:$A$532,0)),"?"))</f>
        <v/>
      </c>
      <c r="C135" s="2">
        <f>IF($A135="","",IFERROR(INDEX(Listone!$C$2:$C$532,MATCH($A135,Listone!$A$2:$A$532,0)),""))</f>
        <v/>
      </c>
      <c r="D135" s="2">
        <f>IF($A135="","",IFERROR(INDEX(Listone!$D$2:$D$532,MATCH($A135,Listone!$A$2:$A$532,0)),""))</f>
        <v/>
      </c>
      <c r="E135" s="2">
        <f>IF($A135="","",IFERROR(INDEX(Listone!$G$2:$G$532,MATCH($A135,Listone!$A$2:$A$532,0)),""))</f>
        <v/>
      </c>
      <c r="F135" s="8" t="n"/>
      <c r="G135" s="8" t="n"/>
      <c r="H135" s="7">
        <f>IF(OR($A135="",$F135=""),"",$F135&amp;"|"&amp;$C135)</f>
        <v/>
      </c>
      <c r="I135" s="7">
        <f>IF($H135="","",COUNTIF($H$4:$H135,$H135))</f>
        <v/>
      </c>
      <c r="J135" s="7">
        <f>IF($H135="","",$H135&amp;"|"&amp;$I135)</f>
        <v/>
      </c>
    </row>
    <row r="136">
      <c r="A136" s="8" t="n"/>
      <c r="B136" s="2">
        <f>IF($A136="","",IFERROR(INDEX(Listone!$B$2:$B$532,MATCH($A136,Listone!$A$2:$A$532,0)),"?"))</f>
        <v/>
      </c>
      <c r="C136" s="2">
        <f>IF($A136="","",IFERROR(INDEX(Listone!$C$2:$C$532,MATCH($A136,Listone!$A$2:$A$532,0)),""))</f>
        <v/>
      </c>
      <c r="D136" s="2">
        <f>IF($A136="","",IFERROR(INDEX(Listone!$D$2:$D$532,MATCH($A136,Listone!$A$2:$A$532,0)),""))</f>
        <v/>
      </c>
      <c r="E136" s="2">
        <f>IF($A136="","",IFERROR(INDEX(Listone!$G$2:$G$532,MATCH($A136,Listone!$A$2:$A$532,0)),""))</f>
        <v/>
      </c>
      <c r="F136" s="8" t="n"/>
      <c r="G136" s="8" t="n"/>
      <c r="H136" s="7">
        <f>IF(OR($A136="",$F136=""),"",$F136&amp;"|"&amp;$C136)</f>
        <v/>
      </c>
      <c r="I136" s="7">
        <f>IF($H136="","",COUNTIF($H$4:$H136,$H136))</f>
        <v/>
      </c>
      <c r="J136" s="7">
        <f>IF($H136="","",$H136&amp;"|"&amp;$I136)</f>
        <v/>
      </c>
    </row>
    <row r="137">
      <c r="A137" s="8" t="n"/>
      <c r="B137" s="2">
        <f>IF($A137="","",IFERROR(INDEX(Listone!$B$2:$B$532,MATCH($A137,Listone!$A$2:$A$532,0)),"?"))</f>
        <v/>
      </c>
      <c r="C137" s="2">
        <f>IF($A137="","",IFERROR(INDEX(Listone!$C$2:$C$532,MATCH($A137,Listone!$A$2:$A$532,0)),""))</f>
        <v/>
      </c>
      <c r="D137" s="2">
        <f>IF($A137="","",IFERROR(INDEX(Listone!$D$2:$D$532,MATCH($A137,Listone!$A$2:$A$532,0)),""))</f>
        <v/>
      </c>
      <c r="E137" s="2">
        <f>IF($A137="","",IFERROR(INDEX(Listone!$G$2:$G$532,MATCH($A137,Listone!$A$2:$A$532,0)),""))</f>
        <v/>
      </c>
      <c r="F137" s="8" t="n"/>
      <c r="G137" s="8" t="n"/>
      <c r="H137" s="7">
        <f>IF(OR($A137="",$F137=""),"",$F137&amp;"|"&amp;$C137)</f>
        <v/>
      </c>
      <c r="I137" s="7">
        <f>IF($H137="","",COUNTIF($H$4:$H137,$H137))</f>
        <v/>
      </c>
      <c r="J137" s="7">
        <f>IF($H137="","",$H137&amp;"|"&amp;$I137)</f>
        <v/>
      </c>
    </row>
    <row r="138">
      <c r="A138" s="8" t="n"/>
      <c r="B138" s="2">
        <f>IF($A138="","",IFERROR(INDEX(Listone!$B$2:$B$532,MATCH($A138,Listone!$A$2:$A$532,0)),"?"))</f>
        <v/>
      </c>
      <c r="C138" s="2">
        <f>IF($A138="","",IFERROR(INDEX(Listone!$C$2:$C$532,MATCH($A138,Listone!$A$2:$A$532,0)),""))</f>
        <v/>
      </c>
      <c r="D138" s="2">
        <f>IF($A138="","",IFERROR(INDEX(Listone!$D$2:$D$532,MATCH($A138,Listone!$A$2:$A$532,0)),""))</f>
        <v/>
      </c>
      <c r="E138" s="2">
        <f>IF($A138="","",IFERROR(INDEX(Listone!$G$2:$G$532,MATCH($A138,Listone!$A$2:$A$532,0)),""))</f>
        <v/>
      </c>
      <c r="F138" s="8" t="n"/>
      <c r="G138" s="8" t="n"/>
      <c r="H138" s="7">
        <f>IF(OR($A138="",$F138=""),"",$F138&amp;"|"&amp;$C138)</f>
        <v/>
      </c>
      <c r="I138" s="7">
        <f>IF($H138="","",COUNTIF($H$4:$H138,$H138))</f>
        <v/>
      </c>
      <c r="J138" s="7">
        <f>IF($H138="","",$H138&amp;"|"&amp;$I138)</f>
        <v/>
      </c>
    </row>
    <row r="139">
      <c r="A139" s="8" t="n"/>
      <c r="B139" s="2">
        <f>IF($A139="","",IFERROR(INDEX(Listone!$B$2:$B$532,MATCH($A139,Listone!$A$2:$A$532,0)),"?"))</f>
        <v/>
      </c>
      <c r="C139" s="2">
        <f>IF($A139="","",IFERROR(INDEX(Listone!$C$2:$C$532,MATCH($A139,Listone!$A$2:$A$532,0)),""))</f>
        <v/>
      </c>
      <c r="D139" s="2">
        <f>IF($A139="","",IFERROR(INDEX(Listone!$D$2:$D$532,MATCH($A139,Listone!$A$2:$A$532,0)),""))</f>
        <v/>
      </c>
      <c r="E139" s="2">
        <f>IF($A139="","",IFERROR(INDEX(Listone!$G$2:$G$532,MATCH($A139,Listone!$A$2:$A$532,0)),""))</f>
        <v/>
      </c>
      <c r="F139" s="8" t="n"/>
      <c r="G139" s="8" t="n"/>
      <c r="H139" s="7">
        <f>IF(OR($A139="",$F139=""),"",$F139&amp;"|"&amp;$C139)</f>
        <v/>
      </c>
      <c r="I139" s="7">
        <f>IF($H139="","",COUNTIF($H$4:$H139,$H139))</f>
        <v/>
      </c>
      <c r="J139" s="7">
        <f>IF($H139="","",$H139&amp;"|"&amp;$I139)</f>
        <v/>
      </c>
    </row>
    <row r="140">
      <c r="A140" s="8" t="n"/>
      <c r="B140" s="2">
        <f>IF($A140="","",IFERROR(INDEX(Listone!$B$2:$B$532,MATCH($A140,Listone!$A$2:$A$532,0)),"?"))</f>
        <v/>
      </c>
      <c r="C140" s="2">
        <f>IF($A140="","",IFERROR(INDEX(Listone!$C$2:$C$532,MATCH($A140,Listone!$A$2:$A$532,0)),""))</f>
        <v/>
      </c>
      <c r="D140" s="2">
        <f>IF($A140="","",IFERROR(INDEX(Listone!$D$2:$D$532,MATCH($A140,Listone!$A$2:$A$532,0)),""))</f>
        <v/>
      </c>
      <c r="E140" s="2">
        <f>IF($A140="","",IFERROR(INDEX(Listone!$G$2:$G$532,MATCH($A140,Listone!$A$2:$A$532,0)),""))</f>
        <v/>
      </c>
      <c r="F140" s="8" t="n"/>
      <c r="G140" s="8" t="n"/>
      <c r="H140" s="7">
        <f>IF(OR($A140="",$F140=""),"",$F140&amp;"|"&amp;$C140)</f>
        <v/>
      </c>
      <c r="I140" s="7">
        <f>IF($H140="","",COUNTIF($H$4:$H140,$H140))</f>
        <v/>
      </c>
      <c r="J140" s="7">
        <f>IF($H140="","",$H140&amp;"|"&amp;$I140)</f>
        <v/>
      </c>
    </row>
    <row r="141">
      <c r="A141" s="8" t="n"/>
      <c r="B141" s="2">
        <f>IF($A141="","",IFERROR(INDEX(Listone!$B$2:$B$532,MATCH($A141,Listone!$A$2:$A$532,0)),"?"))</f>
        <v/>
      </c>
      <c r="C141" s="2">
        <f>IF($A141="","",IFERROR(INDEX(Listone!$C$2:$C$532,MATCH($A141,Listone!$A$2:$A$532,0)),""))</f>
        <v/>
      </c>
      <c r="D141" s="2">
        <f>IF($A141="","",IFERROR(INDEX(Listone!$D$2:$D$532,MATCH($A141,Listone!$A$2:$A$532,0)),""))</f>
        <v/>
      </c>
      <c r="E141" s="2">
        <f>IF($A141="","",IFERROR(INDEX(Listone!$G$2:$G$532,MATCH($A141,Listone!$A$2:$A$532,0)),""))</f>
        <v/>
      </c>
      <c r="F141" s="8" t="n"/>
      <c r="G141" s="8" t="n"/>
      <c r="H141" s="7">
        <f>IF(OR($A141="",$F141=""),"",$F141&amp;"|"&amp;$C141)</f>
        <v/>
      </c>
      <c r="I141" s="7">
        <f>IF($H141="","",COUNTIF($H$4:$H141,$H141))</f>
        <v/>
      </c>
      <c r="J141" s="7">
        <f>IF($H141="","",$H141&amp;"|"&amp;$I141)</f>
        <v/>
      </c>
    </row>
    <row r="142">
      <c r="A142" s="8" t="n"/>
      <c r="B142" s="2">
        <f>IF($A142="","",IFERROR(INDEX(Listone!$B$2:$B$532,MATCH($A142,Listone!$A$2:$A$532,0)),"?"))</f>
        <v/>
      </c>
      <c r="C142" s="2">
        <f>IF($A142="","",IFERROR(INDEX(Listone!$C$2:$C$532,MATCH($A142,Listone!$A$2:$A$532,0)),""))</f>
        <v/>
      </c>
      <c r="D142" s="2">
        <f>IF($A142="","",IFERROR(INDEX(Listone!$D$2:$D$532,MATCH($A142,Listone!$A$2:$A$532,0)),""))</f>
        <v/>
      </c>
      <c r="E142" s="2">
        <f>IF($A142="","",IFERROR(INDEX(Listone!$G$2:$G$532,MATCH($A142,Listone!$A$2:$A$532,0)),""))</f>
        <v/>
      </c>
      <c r="F142" s="8" t="n"/>
      <c r="G142" s="8" t="n"/>
      <c r="H142" s="7">
        <f>IF(OR($A142="",$F142=""),"",$F142&amp;"|"&amp;$C142)</f>
        <v/>
      </c>
      <c r="I142" s="7">
        <f>IF($H142="","",COUNTIF($H$4:$H142,$H142))</f>
        <v/>
      </c>
      <c r="J142" s="7">
        <f>IF($H142="","",$H142&amp;"|"&amp;$I142)</f>
        <v/>
      </c>
    </row>
    <row r="143">
      <c r="A143" s="8" t="n"/>
      <c r="B143" s="2">
        <f>IF($A143="","",IFERROR(INDEX(Listone!$B$2:$B$532,MATCH($A143,Listone!$A$2:$A$532,0)),"?"))</f>
        <v/>
      </c>
      <c r="C143" s="2">
        <f>IF($A143="","",IFERROR(INDEX(Listone!$C$2:$C$532,MATCH($A143,Listone!$A$2:$A$532,0)),""))</f>
        <v/>
      </c>
      <c r="D143" s="2">
        <f>IF($A143="","",IFERROR(INDEX(Listone!$D$2:$D$532,MATCH($A143,Listone!$A$2:$A$532,0)),""))</f>
        <v/>
      </c>
      <c r="E143" s="2">
        <f>IF($A143="","",IFERROR(INDEX(Listone!$G$2:$G$532,MATCH($A143,Listone!$A$2:$A$532,0)),""))</f>
        <v/>
      </c>
      <c r="F143" s="8" t="n"/>
      <c r="G143" s="8" t="n"/>
      <c r="H143" s="7">
        <f>IF(OR($A143="",$F143=""),"",$F143&amp;"|"&amp;$C143)</f>
        <v/>
      </c>
      <c r="I143" s="7">
        <f>IF($H143="","",COUNTIF($H$4:$H143,$H143))</f>
        <v/>
      </c>
      <c r="J143" s="7">
        <f>IF($H143="","",$H143&amp;"|"&amp;$I143)</f>
        <v/>
      </c>
    </row>
    <row r="144">
      <c r="A144" s="8" t="n"/>
      <c r="B144" s="2">
        <f>IF($A144="","",IFERROR(INDEX(Listone!$B$2:$B$532,MATCH($A144,Listone!$A$2:$A$532,0)),"?"))</f>
        <v/>
      </c>
      <c r="C144" s="2">
        <f>IF($A144="","",IFERROR(INDEX(Listone!$C$2:$C$532,MATCH($A144,Listone!$A$2:$A$532,0)),""))</f>
        <v/>
      </c>
      <c r="D144" s="2">
        <f>IF($A144="","",IFERROR(INDEX(Listone!$D$2:$D$532,MATCH($A144,Listone!$A$2:$A$532,0)),""))</f>
        <v/>
      </c>
      <c r="E144" s="2">
        <f>IF($A144="","",IFERROR(INDEX(Listone!$G$2:$G$532,MATCH($A144,Listone!$A$2:$A$532,0)),""))</f>
        <v/>
      </c>
      <c r="F144" s="8" t="n"/>
      <c r="G144" s="8" t="n"/>
      <c r="H144" s="7">
        <f>IF(OR($A144="",$F144=""),"",$F144&amp;"|"&amp;$C144)</f>
        <v/>
      </c>
      <c r="I144" s="7">
        <f>IF($H144="","",COUNTIF($H$4:$H144,$H144))</f>
        <v/>
      </c>
      <c r="J144" s="7">
        <f>IF($H144="","",$H144&amp;"|"&amp;$I144)</f>
        <v/>
      </c>
    </row>
    <row r="145">
      <c r="A145" s="8" t="n"/>
      <c r="B145" s="2">
        <f>IF($A145="","",IFERROR(INDEX(Listone!$B$2:$B$532,MATCH($A145,Listone!$A$2:$A$532,0)),"?"))</f>
        <v/>
      </c>
      <c r="C145" s="2">
        <f>IF($A145="","",IFERROR(INDEX(Listone!$C$2:$C$532,MATCH($A145,Listone!$A$2:$A$532,0)),""))</f>
        <v/>
      </c>
      <c r="D145" s="2">
        <f>IF($A145="","",IFERROR(INDEX(Listone!$D$2:$D$532,MATCH($A145,Listone!$A$2:$A$532,0)),""))</f>
        <v/>
      </c>
      <c r="E145" s="2">
        <f>IF($A145="","",IFERROR(INDEX(Listone!$G$2:$G$532,MATCH($A145,Listone!$A$2:$A$532,0)),""))</f>
        <v/>
      </c>
      <c r="F145" s="8" t="n"/>
      <c r="G145" s="8" t="n"/>
      <c r="H145" s="7">
        <f>IF(OR($A145="",$F145=""),"",$F145&amp;"|"&amp;$C145)</f>
        <v/>
      </c>
      <c r="I145" s="7">
        <f>IF($H145="","",COUNTIF($H$4:$H145,$H145))</f>
        <v/>
      </c>
      <c r="J145" s="7">
        <f>IF($H145="","",$H145&amp;"|"&amp;$I145)</f>
        <v/>
      </c>
    </row>
    <row r="146">
      <c r="A146" s="8" t="n"/>
      <c r="B146" s="2">
        <f>IF($A146="","",IFERROR(INDEX(Listone!$B$2:$B$532,MATCH($A146,Listone!$A$2:$A$532,0)),"?"))</f>
        <v/>
      </c>
      <c r="C146" s="2">
        <f>IF($A146="","",IFERROR(INDEX(Listone!$C$2:$C$532,MATCH($A146,Listone!$A$2:$A$532,0)),""))</f>
        <v/>
      </c>
      <c r="D146" s="2">
        <f>IF($A146="","",IFERROR(INDEX(Listone!$D$2:$D$532,MATCH($A146,Listone!$A$2:$A$532,0)),""))</f>
        <v/>
      </c>
      <c r="E146" s="2">
        <f>IF($A146="","",IFERROR(INDEX(Listone!$G$2:$G$532,MATCH($A146,Listone!$A$2:$A$532,0)),""))</f>
        <v/>
      </c>
      <c r="F146" s="8" t="n"/>
      <c r="G146" s="8" t="n"/>
      <c r="H146" s="7">
        <f>IF(OR($A146="",$F146=""),"",$F146&amp;"|"&amp;$C146)</f>
        <v/>
      </c>
      <c r="I146" s="7">
        <f>IF($H146="","",COUNTIF($H$4:$H146,$H146))</f>
        <v/>
      </c>
      <c r="J146" s="7">
        <f>IF($H146="","",$H146&amp;"|"&amp;$I146)</f>
        <v/>
      </c>
    </row>
    <row r="147">
      <c r="A147" s="8" t="n"/>
      <c r="B147" s="2">
        <f>IF($A147="","",IFERROR(INDEX(Listone!$B$2:$B$532,MATCH($A147,Listone!$A$2:$A$532,0)),"?"))</f>
        <v/>
      </c>
      <c r="C147" s="2">
        <f>IF($A147="","",IFERROR(INDEX(Listone!$C$2:$C$532,MATCH($A147,Listone!$A$2:$A$532,0)),""))</f>
        <v/>
      </c>
      <c r="D147" s="2">
        <f>IF($A147="","",IFERROR(INDEX(Listone!$D$2:$D$532,MATCH($A147,Listone!$A$2:$A$532,0)),""))</f>
        <v/>
      </c>
      <c r="E147" s="2">
        <f>IF($A147="","",IFERROR(INDEX(Listone!$G$2:$G$532,MATCH($A147,Listone!$A$2:$A$532,0)),""))</f>
        <v/>
      </c>
      <c r="F147" s="8" t="n"/>
      <c r="G147" s="8" t="n"/>
      <c r="H147" s="7">
        <f>IF(OR($A147="",$F147=""),"",$F147&amp;"|"&amp;$C147)</f>
        <v/>
      </c>
      <c r="I147" s="7">
        <f>IF($H147="","",COUNTIF($H$4:$H147,$H147))</f>
        <v/>
      </c>
      <c r="J147" s="7">
        <f>IF($H147="","",$H147&amp;"|"&amp;$I147)</f>
        <v/>
      </c>
    </row>
    <row r="148">
      <c r="A148" s="8" t="n"/>
      <c r="B148" s="2">
        <f>IF($A148="","",IFERROR(INDEX(Listone!$B$2:$B$532,MATCH($A148,Listone!$A$2:$A$532,0)),"?"))</f>
        <v/>
      </c>
      <c r="C148" s="2">
        <f>IF($A148="","",IFERROR(INDEX(Listone!$C$2:$C$532,MATCH($A148,Listone!$A$2:$A$532,0)),""))</f>
        <v/>
      </c>
      <c r="D148" s="2">
        <f>IF($A148="","",IFERROR(INDEX(Listone!$D$2:$D$532,MATCH($A148,Listone!$A$2:$A$532,0)),""))</f>
        <v/>
      </c>
      <c r="E148" s="2">
        <f>IF($A148="","",IFERROR(INDEX(Listone!$G$2:$G$532,MATCH($A148,Listone!$A$2:$A$532,0)),""))</f>
        <v/>
      </c>
      <c r="F148" s="8" t="n"/>
      <c r="G148" s="8" t="n"/>
      <c r="H148" s="7">
        <f>IF(OR($A148="",$F148=""),"",$F148&amp;"|"&amp;$C148)</f>
        <v/>
      </c>
      <c r="I148" s="7">
        <f>IF($H148="","",COUNTIF($H$4:$H148,$H148))</f>
        <v/>
      </c>
      <c r="J148" s="7">
        <f>IF($H148="","",$H148&amp;"|"&amp;$I148)</f>
        <v/>
      </c>
    </row>
    <row r="149">
      <c r="A149" s="8" t="n"/>
      <c r="B149" s="2">
        <f>IF($A149="","",IFERROR(INDEX(Listone!$B$2:$B$532,MATCH($A149,Listone!$A$2:$A$532,0)),"?"))</f>
        <v/>
      </c>
      <c r="C149" s="2">
        <f>IF($A149="","",IFERROR(INDEX(Listone!$C$2:$C$532,MATCH($A149,Listone!$A$2:$A$532,0)),""))</f>
        <v/>
      </c>
      <c r="D149" s="2">
        <f>IF($A149="","",IFERROR(INDEX(Listone!$D$2:$D$532,MATCH($A149,Listone!$A$2:$A$532,0)),""))</f>
        <v/>
      </c>
      <c r="E149" s="2">
        <f>IF($A149="","",IFERROR(INDEX(Listone!$G$2:$G$532,MATCH($A149,Listone!$A$2:$A$532,0)),""))</f>
        <v/>
      </c>
      <c r="F149" s="8" t="n"/>
      <c r="G149" s="8" t="n"/>
      <c r="H149" s="7">
        <f>IF(OR($A149="",$F149=""),"",$F149&amp;"|"&amp;$C149)</f>
        <v/>
      </c>
      <c r="I149" s="7">
        <f>IF($H149="","",COUNTIF($H$4:$H149,$H149))</f>
        <v/>
      </c>
      <c r="J149" s="7">
        <f>IF($H149="","",$H149&amp;"|"&amp;$I149)</f>
        <v/>
      </c>
    </row>
    <row r="150">
      <c r="A150" s="8" t="n"/>
      <c r="B150" s="2">
        <f>IF($A150="","",IFERROR(INDEX(Listone!$B$2:$B$532,MATCH($A150,Listone!$A$2:$A$532,0)),"?"))</f>
        <v/>
      </c>
      <c r="C150" s="2">
        <f>IF($A150="","",IFERROR(INDEX(Listone!$C$2:$C$532,MATCH($A150,Listone!$A$2:$A$532,0)),""))</f>
        <v/>
      </c>
      <c r="D150" s="2">
        <f>IF($A150="","",IFERROR(INDEX(Listone!$D$2:$D$532,MATCH($A150,Listone!$A$2:$A$532,0)),""))</f>
        <v/>
      </c>
      <c r="E150" s="2">
        <f>IF($A150="","",IFERROR(INDEX(Listone!$G$2:$G$532,MATCH($A150,Listone!$A$2:$A$532,0)),""))</f>
        <v/>
      </c>
      <c r="F150" s="8" t="n"/>
      <c r="G150" s="8" t="n"/>
      <c r="H150" s="7">
        <f>IF(OR($A150="",$F150=""),"",$F150&amp;"|"&amp;$C150)</f>
        <v/>
      </c>
      <c r="I150" s="7">
        <f>IF($H150="","",COUNTIF($H$4:$H150,$H150))</f>
        <v/>
      </c>
      <c r="J150" s="7">
        <f>IF($H150="","",$H150&amp;"|"&amp;$I150)</f>
        <v/>
      </c>
    </row>
    <row r="151">
      <c r="A151" s="8" t="n"/>
      <c r="B151" s="2">
        <f>IF($A151="","",IFERROR(INDEX(Listone!$B$2:$B$532,MATCH($A151,Listone!$A$2:$A$532,0)),"?"))</f>
        <v/>
      </c>
      <c r="C151" s="2">
        <f>IF($A151="","",IFERROR(INDEX(Listone!$C$2:$C$532,MATCH($A151,Listone!$A$2:$A$532,0)),""))</f>
        <v/>
      </c>
      <c r="D151" s="2">
        <f>IF($A151="","",IFERROR(INDEX(Listone!$D$2:$D$532,MATCH($A151,Listone!$A$2:$A$532,0)),""))</f>
        <v/>
      </c>
      <c r="E151" s="2">
        <f>IF($A151="","",IFERROR(INDEX(Listone!$G$2:$G$532,MATCH($A151,Listone!$A$2:$A$532,0)),""))</f>
        <v/>
      </c>
      <c r="F151" s="8" t="n"/>
      <c r="G151" s="8" t="n"/>
      <c r="H151" s="7">
        <f>IF(OR($A151="",$F151=""),"",$F151&amp;"|"&amp;$C151)</f>
        <v/>
      </c>
      <c r="I151" s="7">
        <f>IF($H151="","",COUNTIF($H$4:$H151,$H151))</f>
        <v/>
      </c>
      <c r="J151" s="7">
        <f>IF($H151="","",$H151&amp;"|"&amp;$I151)</f>
        <v/>
      </c>
    </row>
    <row r="152">
      <c r="A152" s="8" t="n"/>
      <c r="B152" s="2">
        <f>IF($A152="","",IFERROR(INDEX(Listone!$B$2:$B$532,MATCH($A152,Listone!$A$2:$A$532,0)),"?"))</f>
        <v/>
      </c>
      <c r="C152" s="2">
        <f>IF($A152="","",IFERROR(INDEX(Listone!$C$2:$C$532,MATCH($A152,Listone!$A$2:$A$532,0)),""))</f>
        <v/>
      </c>
      <c r="D152" s="2">
        <f>IF($A152="","",IFERROR(INDEX(Listone!$D$2:$D$532,MATCH($A152,Listone!$A$2:$A$532,0)),""))</f>
        <v/>
      </c>
      <c r="E152" s="2">
        <f>IF($A152="","",IFERROR(INDEX(Listone!$G$2:$G$532,MATCH($A152,Listone!$A$2:$A$532,0)),""))</f>
        <v/>
      </c>
      <c r="F152" s="8" t="n"/>
      <c r="G152" s="8" t="n"/>
      <c r="H152" s="7">
        <f>IF(OR($A152="",$F152=""),"",$F152&amp;"|"&amp;$C152)</f>
        <v/>
      </c>
      <c r="I152" s="7">
        <f>IF($H152="","",COUNTIF($H$4:$H152,$H152))</f>
        <v/>
      </c>
      <c r="J152" s="7">
        <f>IF($H152="","",$H152&amp;"|"&amp;$I152)</f>
        <v/>
      </c>
    </row>
    <row r="153">
      <c r="A153" s="8" t="n"/>
      <c r="B153" s="2">
        <f>IF($A153="","",IFERROR(INDEX(Listone!$B$2:$B$532,MATCH($A153,Listone!$A$2:$A$532,0)),"?"))</f>
        <v/>
      </c>
      <c r="C153" s="2">
        <f>IF($A153="","",IFERROR(INDEX(Listone!$C$2:$C$532,MATCH($A153,Listone!$A$2:$A$532,0)),""))</f>
        <v/>
      </c>
      <c r="D153" s="2">
        <f>IF($A153="","",IFERROR(INDEX(Listone!$D$2:$D$532,MATCH($A153,Listone!$A$2:$A$532,0)),""))</f>
        <v/>
      </c>
      <c r="E153" s="2">
        <f>IF($A153="","",IFERROR(INDEX(Listone!$G$2:$G$532,MATCH($A153,Listone!$A$2:$A$532,0)),""))</f>
        <v/>
      </c>
      <c r="F153" s="8" t="n"/>
      <c r="G153" s="8" t="n"/>
      <c r="H153" s="7">
        <f>IF(OR($A153="",$F153=""),"",$F153&amp;"|"&amp;$C153)</f>
        <v/>
      </c>
      <c r="I153" s="7">
        <f>IF($H153="","",COUNTIF($H$4:$H153,$H153))</f>
        <v/>
      </c>
      <c r="J153" s="7">
        <f>IF($H153="","",$H153&amp;"|"&amp;$I153)</f>
        <v/>
      </c>
    </row>
    <row r="154">
      <c r="A154" s="8" t="n"/>
      <c r="B154" s="2">
        <f>IF($A154="","",IFERROR(INDEX(Listone!$B$2:$B$532,MATCH($A154,Listone!$A$2:$A$532,0)),"?"))</f>
        <v/>
      </c>
      <c r="C154" s="2">
        <f>IF($A154="","",IFERROR(INDEX(Listone!$C$2:$C$532,MATCH($A154,Listone!$A$2:$A$532,0)),""))</f>
        <v/>
      </c>
      <c r="D154" s="2">
        <f>IF($A154="","",IFERROR(INDEX(Listone!$D$2:$D$532,MATCH($A154,Listone!$A$2:$A$532,0)),""))</f>
        <v/>
      </c>
      <c r="E154" s="2">
        <f>IF($A154="","",IFERROR(INDEX(Listone!$G$2:$G$532,MATCH($A154,Listone!$A$2:$A$532,0)),""))</f>
        <v/>
      </c>
      <c r="F154" s="8" t="n"/>
      <c r="G154" s="8" t="n"/>
      <c r="H154" s="7">
        <f>IF(OR($A154="",$F154=""),"",$F154&amp;"|"&amp;$C154)</f>
        <v/>
      </c>
      <c r="I154" s="7">
        <f>IF($H154="","",COUNTIF($H$4:$H154,$H154))</f>
        <v/>
      </c>
      <c r="J154" s="7">
        <f>IF($H154="","",$H154&amp;"|"&amp;$I154)</f>
        <v/>
      </c>
    </row>
    <row r="155">
      <c r="A155" s="8" t="n"/>
      <c r="B155" s="2">
        <f>IF($A155="","",IFERROR(INDEX(Listone!$B$2:$B$532,MATCH($A155,Listone!$A$2:$A$532,0)),"?"))</f>
        <v/>
      </c>
      <c r="C155" s="2">
        <f>IF($A155="","",IFERROR(INDEX(Listone!$C$2:$C$532,MATCH($A155,Listone!$A$2:$A$532,0)),""))</f>
        <v/>
      </c>
      <c r="D155" s="2">
        <f>IF($A155="","",IFERROR(INDEX(Listone!$D$2:$D$532,MATCH($A155,Listone!$A$2:$A$532,0)),""))</f>
        <v/>
      </c>
      <c r="E155" s="2">
        <f>IF($A155="","",IFERROR(INDEX(Listone!$G$2:$G$532,MATCH($A155,Listone!$A$2:$A$532,0)),""))</f>
        <v/>
      </c>
      <c r="F155" s="8" t="n"/>
      <c r="G155" s="8" t="n"/>
      <c r="H155" s="7">
        <f>IF(OR($A155="",$F155=""),"",$F155&amp;"|"&amp;$C155)</f>
        <v/>
      </c>
      <c r="I155" s="7">
        <f>IF($H155="","",COUNTIF($H$4:$H155,$H155))</f>
        <v/>
      </c>
      <c r="J155" s="7">
        <f>IF($H155="","",$H155&amp;"|"&amp;$I155)</f>
        <v/>
      </c>
    </row>
    <row r="156">
      <c r="A156" s="8" t="n"/>
      <c r="B156" s="2">
        <f>IF($A156="","",IFERROR(INDEX(Listone!$B$2:$B$532,MATCH($A156,Listone!$A$2:$A$532,0)),"?"))</f>
        <v/>
      </c>
      <c r="C156" s="2">
        <f>IF($A156="","",IFERROR(INDEX(Listone!$C$2:$C$532,MATCH($A156,Listone!$A$2:$A$532,0)),""))</f>
        <v/>
      </c>
      <c r="D156" s="2">
        <f>IF($A156="","",IFERROR(INDEX(Listone!$D$2:$D$532,MATCH($A156,Listone!$A$2:$A$532,0)),""))</f>
        <v/>
      </c>
      <c r="E156" s="2">
        <f>IF($A156="","",IFERROR(INDEX(Listone!$G$2:$G$532,MATCH($A156,Listone!$A$2:$A$532,0)),""))</f>
        <v/>
      </c>
      <c r="F156" s="8" t="n"/>
      <c r="G156" s="8" t="n"/>
      <c r="H156" s="7">
        <f>IF(OR($A156="",$F156=""),"",$F156&amp;"|"&amp;$C156)</f>
        <v/>
      </c>
      <c r="I156" s="7">
        <f>IF($H156="","",COUNTIF($H$4:$H156,$H156))</f>
        <v/>
      </c>
      <c r="J156" s="7">
        <f>IF($H156="","",$H156&amp;"|"&amp;$I156)</f>
        <v/>
      </c>
    </row>
    <row r="157">
      <c r="A157" s="8" t="n"/>
      <c r="B157" s="2">
        <f>IF($A157="","",IFERROR(INDEX(Listone!$B$2:$B$532,MATCH($A157,Listone!$A$2:$A$532,0)),"?"))</f>
        <v/>
      </c>
      <c r="C157" s="2">
        <f>IF($A157="","",IFERROR(INDEX(Listone!$C$2:$C$532,MATCH($A157,Listone!$A$2:$A$532,0)),""))</f>
        <v/>
      </c>
      <c r="D157" s="2">
        <f>IF($A157="","",IFERROR(INDEX(Listone!$D$2:$D$532,MATCH($A157,Listone!$A$2:$A$532,0)),""))</f>
        <v/>
      </c>
      <c r="E157" s="2">
        <f>IF($A157="","",IFERROR(INDEX(Listone!$G$2:$G$532,MATCH($A157,Listone!$A$2:$A$532,0)),""))</f>
        <v/>
      </c>
      <c r="F157" s="8" t="n"/>
      <c r="G157" s="8" t="n"/>
      <c r="H157" s="7">
        <f>IF(OR($A157="",$F157=""),"",$F157&amp;"|"&amp;$C157)</f>
        <v/>
      </c>
      <c r="I157" s="7">
        <f>IF($H157="","",COUNTIF($H$4:$H157,$H157))</f>
        <v/>
      </c>
      <c r="J157" s="7">
        <f>IF($H157="","",$H157&amp;"|"&amp;$I157)</f>
        <v/>
      </c>
    </row>
    <row r="158">
      <c r="A158" s="8" t="n"/>
      <c r="B158" s="2">
        <f>IF($A158="","",IFERROR(INDEX(Listone!$B$2:$B$532,MATCH($A158,Listone!$A$2:$A$532,0)),"?"))</f>
        <v/>
      </c>
      <c r="C158" s="2">
        <f>IF($A158="","",IFERROR(INDEX(Listone!$C$2:$C$532,MATCH($A158,Listone!$A$2:$A$532,0)),""))</f>
        <v/>
      </c>
      <c r="D158" s="2">
        <f>IF($A158="","",IFERROR(INDEX(Listone!$D$2:$D$532,MATCH($A158,Listone!$A$2:$A$532,0)),""))</f>
        <v/>
      </c>
      <c r="E158" s="2">
        <f>IF($A158="","",IFERROR(INDEX(Listone!$G$2:$G$532,MATCH($A158,Listone!$A$2:$A$532,0)),""))</f>
        <v/>
      </c>
      <c r="F158" s="8" t="n"/>
      <c r="G158" s="8" t="n"/>
      <c r="H158" s="7">
        <f>IF(OR($A158="",$F158=""),"",$F158&amp;"|"&amp;$C158)</f>
        <v/>
      </c>
      <c r="I158" s="7">
        <f>IF($H158="","",COUNTIF($H$4:$H158,$H158))</f>
        <v/>
      </c>
      <c r="J158" s="7">
        <f>IF($H158="","",$H158&amp;"|"&amp;$I158)</f>
        <v/>
      </c>
    </row>
    <row r="159">
      <c r="A159" s="8" t="n"/>
      <c r="B159" s="2">
        <f>IF($A159="","",IFERROR(INDEX(Listone!$B$2:$B$532,MATCH($A159,Listone!$A$2:$A$532,0)),"?"))</f>
        <v/>
      </c>
      <c r="C159" s="2">
        <f>IF($A159="","",IFERROR(INDEX(Listone!$C$2:$C$532,MATCH($A159,Listone!$A$2:$A$532,0)),""))</f>
        <v/>
      </c>
      <c r="D159" s="2">
        <f>IF($A159="","",IFERROR(INDEX(Listone!$D$2:$D$532,MATCH($A159,Listone!$A$2:$A$532,0)),""))</f>
        <v/>
      </c>
      <c r="E159" s="2">
        <f>IF($A159="","",IFERROR(INDEX(Listone!$G$2:$G$532,MATCH($A159,Listone!$A$2:$A$532,0)),""))</f>
        <v/>
      </c>
      <c r="F159" s="8" t="n"/>
      <c r="G159" s="8" t="n"/>
      <c r="H159" s="7">
        <f>IF(OR($A159="",$F159=""),"",$F159&amp;"|"&amp;$C159)</f>
        <v/>
      </c>
      <c r="I159" s="7">
        <f>IF($H159="","",COUNTIF($H$4:$H159,$H159))</f>
        <v/>
      </c>
      <c r="J159" s="7">
        <f>IF($H159="","",$H159&amp;"|"&amp;$I159)</f>
        <v/>
      </c>
    </row>
    <row r="160">
      <c r="A160" s="8" t="n"/>
      <c r="B160" s="2">
        <f>IF($A160="","",IFERROR(INDEX(Listone!$B$2:$B$532,MATCH($A160,Listone!$A$2:$A$532,0)),"?"))</f>
        <v/>
      </c>
      <c r="C160" s="2">
        <f>IF($A160="","",IFERROR(INDEX(Listone!$C$2:$C$532,MATCH($A160,Listone!$A$2:$A$532,0)),""))</f>
        <v/>
      </c>
      <c r="D160" s="2">
        <f>IF($A160="","",IFERROR(INDEX(Listone!$D$2:$D$532,MATCH($A160,Listone!$A$2:$A$532,0)),""))</f>
        <v/>
      </c>
      <c r="E160" s="2">
        <f>IF($A160="","",IFERROR(INDEX(Listone!$G$2:$G$532,MATCH($A160,Listone!$A$2:$A$532,0)),""))</f>
        <v/>
      </c>
      <c r="F160" s="8" t="n"/>
      <c r="G160" s="8" t="n"/>
      <c r="H160" s="7">
        <f>IF(OR($A160="",$F160=""),"",$F160&amp;"|"&amp;$C160)</f>
        <v/>
      </c>
      <c r="I160" s="7">
        <f>IF($H160="","",COUNTIF($H$4:$H160,$H160))</f>
        <v/>
      </c>
      <c r="J160" s="7">
        <f>IF($H160="","",$H160&amp;"|"&amp;$I160)</f>
        <v/>
      </c>
    </row>
    <row r="161">
      <c r="A161" s="8" t="n"/>
      <c r="B161" s="2">
        <f>IF($A161="","",IFERROR(INDEX(Listone!$B$2:$B$532,MATCH($A161,Listone!$A$2:$A$532,0)),"?"))</f>
        <v/>
      </c>
      <c r="C161" s="2">
        <f>IF($A161="","",IFERROR(INDEX(Listone!$C$2:$C$532,MATCH($A161,Listone!$A$2:$A$532,0)),""))</f>
        <v/>
      </c>
      <c r="D161" s="2">
        <f>IF($A161="","",IFERROR(INDEX(Listone!$D$2:$D$532,MATCH($A161,Listone!$A$2:$A$532,0)),""))</f>
        <v/>
      </c>
      <c r="E161" s="2">
        <f>IF($A161="","",IFERROR(INDEX(Listone!$G$2:$G$532,MATCH($A161,Listone!$A$2:$A$532,0)),""))</f>
        <v/>
      </c>
      <c r="F161" s="8" t="n"/>
      <c r="G161" s="8" t="n"/>
      <c r="H161" s="7">
        <f>IF(OR($A161="",$F161=""),"",$F161&amp;"|"&amp;$C161)</f>
        <v/>
      </c>
      <c r="I161" s="7">
        <f>IF($H161="","",COUNTIF($H$4:$H161,$H161))</f>
        <v/>
      </c>
      <c r="J161" s="7">
        <f>IF($H161="","",$H161&amp;"|"&amp;$I161)</f>
        <v/>
      </c>
    </row>
    <row r="162">
      <c r="A162" s="8" t="n"/>
      <c r="B162" s="2">
        <f>IF($A162="","",IFERROR(INDEX(Listone!$B$2:$B$532,MATCH($A162,Listone!$A$2:$A$532,0)),"?"))</f>
        <v/>
      </c>
      <c r="C162" s="2">
        <f>IF($A162="","",IFERROR(INDEX(Listone!$C$2:$C$532,MATCH($A162,Listone!$A$2:$A$532,0)),""))</f>
        <v/>
      </c>
      <c r="D162" s="2">
        <f>IF($A162="","",IFERROR(INDEX(Listone!$D$2:$D$532,MATCH($A162,Listone!$A$2:$A$532,0)),""))</f>
        <v/>
      </c>
      <c r="E162" s="2">
        <f>IF($A162="","",IFERROR(INDEX(Listone!$G$2:$G$532,MATCH($A162,Listone!$A$2:$A$532,0)),""))</f>
        <v/>
      </c>
      <c r="F162" s="8" t="n"/>
      <c r="G162" s="8" t="n"/>
      <c r="H162" s="7">
        <f>IF(OR($A162="",$F162=""),"",$F162&amp;"|"&amp;$C162)</f>
        <v/>
      </c>
      <c r="I162" s="7">
        <f>IF($H162="","",COUNTIF($H$4:$H162,$H162))</f>
        <v/>
      </c>
      <c r="J162" s="7">
        <f>IF($H162="","",$H162&amp;"|"&amp;$I162)</f>
        <v/>
      </c>
    </row>
    <row r="163">
      <c r="A163" s="8" t="n"/>
      <c r="B163" s="2">
        <f>IF($A163="","",IFERROR(INDEX(Listone!$B$2:$B$532,MATCH($A163,Listone!$A$2:$A$532,0)),"?"))</f>
        <v/>
      </c>
      <c r="C163" s="2">
        <f>IF($A163="","",IFERROR(INDEX(Listone!$C$2:$C$532,MATCH($A163,Listone!$A$2:$A$532,0)),""))</f>
        <v/>
      </c>
      <c r="D163" s="2">
        <f>IF($A163="","",IFERROR(INDEX(Listone!$D$2:$D$532,MATCH($A163,Listone!$A$2:$A$532,0)),""))</f>
        <v/>
      </c>
      <c r="E163" s="2">
        <f>IF($A163="","",IFERROR(INDEX(Listone!$G$2:$G$532,MATCH($A163,Listone!$A$2:$A$532,0)),""))</f>
        <v/>
      </c>
      <c r="F163" s="8" t="n"/>
      <c r="G163" s="8" t="n"/>
      <c r="H163" s="7">
        <f>IF(OR($A163="",$F163=""),"",$F163&amp;"|"&amp;$C163)</f>
        <v/>
      </c>
      <c r="I163" s="7">
        <f>IF($H163="","",COUNTIF($H$4:$H163,$H163))</f>
        <v/>
      </c>
      <c r="J163" s="7">
        <f>IF($H163="","",$H163&amp;"|"&amp;$I163)</f>
        <v/>
      </c>
    </row>
    <row r="164">
      <c r="A164" s="8" t="n"/>
      <c r="B164" s="2">
        <f>IF($A164="","",IFERROR(INDEX(Listone!$B$2:$B$532,MATCH($A164,Listone!$A$2:$A$532,0)),"?"))</f>
        <v/>
      </c>
      <c r="C164" s="2">
        <f>IF($A164="","",IFERROR(INDEX(Listone!$C$2:$C$532,MATCH($A164,Listone!$A$2:$A$532,0)),""))</f>
        <v/>
      </c>
      <c r="D164" s="2">
        <f>IF($A164="","",IFERROR(INDEX(Listone!$D$2:$D$532,MATCH($A164,Listone!$A$2:$A$532,0)),""))</f>
        <v/>
      </c>
      <c r="E164" s="2">
        <f>IF($A164="","",IFERROR(INDEX(Listone!$G$2:$G$532,MATCH($A164,Listone!$A$2:$A$532,0)),""))</f>
        <v/>
      </c>
      <c r="F164" s="8" t="n"/>
      <c r="G164" s="8" t="n"/>
      <c r="H164" s="7">
        <f>IF(OR($A164="",$F164=""),"",$F164&amp;"|"&amp;$C164)</f>
        <v/>
      </c>
      <c r="I164" s="7">
        <f>IF($H164="","",COUNTIF($H$4:$H164,$H164))</f>
        <v/>
      </c>
      <c r="J164" s="7">
        <f>IF($H164="","",$H164&amp;"|"&amp;$I164)</f>
        <v/>
      </c>
    </row>
    <row r="165">
      <c r="A165" s="8" t="n"/>
      <c r="B165" s="2">
        <f>IF($A165="","",IFERROR(INDEX(Listone!$B$2:$B$532,MATCH($A165,Listone!$A$2:$A$532,0)),"?"))</f>
        <v/>
      </c>
      <c r="C165" s="2">
        <f>IF($A165="","",IFERROR(INDEX(Listone!$C$2:$C$532,MATCH($A165,Listone!$A$2:$A$532,0)),""))</f>
        <v/>
      </c>
      <c r="D165" s="2">
        <f>IF($A165="","",IFERROR(INDEX(Listone!$D$2:$D$532,MATCH($A165,Listone!$A$2:$A$532,0)),""))</f>
        <v/>
      </c>
      <c r="E165" s="2">
        <f>IF($A165="","",IFERROR(INDEX(Listone!$G$2:$G$532,MATCH($A165,Listone!$A$2:$A$532,0)),""))</f>
        <v/>
      </c>
      <c r="F165" s="8" t="n"/>
      <c r="G165" s="8" t="n"/>
      <c r="H165" s="7">
        <f>IF(OR($A165="",$F165=""),"",$F165&amp;"|"&amp;$C165)</f>
        <v/>
      </c>
      <c r="I165" s="7">
        <f>IF($H165="","",COUNTIF($H$4:$H165,$H165))</f>
        <v/>
      </c>
      <c r="J165" s="7">
        <f>IF($H165="","",$H165&amp;"|"&amp;$I165)</f>
        <v/>
      </c>
    </row>
    <row r="166">
      <c r="A166" s="8" t="n"/>
      <c r="B166" s="2">
        <f>IF($A166="","",IFERROR(INDEX(Listone!$B$2:$B$532,MATCH($A166,Listone!$A$2:$A$532,0)),"?"))</f>
        <v/>
      </c>
      <c r="C166" s="2">
        <f>IF($A166="","",IFERROR(INDEX(Listone!$C$2:$C$532,MATCH($A166,Listone!$A$2:$A$532,0)),""))</f>
        <v/>
      </c>
      <c r="D166" s="2">
        <f>IF($A166="","",IFERROR(INDEX(Listone!$D$2:$D$532,MATCH($A166,Listone!$A$2:$A$532,0)),""))</f>
        <v/>
      </c>
      <c r="E166" s="2">
        <f>IF($A166="","",IFERROR(INDEX(Listone!$G$2:$G$532,MATCH($A166,Listone!$A$2:$A$532,0)),""))</f>
        <v/>
      </c>
      <c r="F166" s="8" t="n"/>
      <c r="G166" s="8" t="n"/>
      <c r="H166" s="7">
        <f>IF(OR($A166="",$F166=""),"",$F166&amp;"|"&amp;$C166)</f>
        <v/>
      </c>
      <c r="I166" s="7">
        <f>IF($H166="","",COUNTIF($H$4:$H166,$H166))</f>
        <v/>
      </c>
      <c r="J166" s="7">
        <f>IF($H166="","",$H166&amp;"|"&amp;$I166)</f>
        <v/>
      </c>
    </row>
    <row r="167">
      <c r="A167" s="8" t="n"/>
      <c r="B167" s="2">
        <f>IF($A167="","",IFERROR(INDEX(Listone!$B$2:$B$532,MATCH($A167,Listone!$A$2:$A$532,0)),"?"))</f>
        <v/>
      </c>
      <c r="C167" s="2">
        <f>IF($A167="","",IFERROR(INDEX(Listone!$C$2:$C$532,MATCH($A167,Listone!$A$2:$A$532,0)),""))</f>
        <v/>
      </c>
      <c r="D167" s="2">
        <f>IF($A167="","",IFERROR(INDEX(Listone!$D$2:$D$532,MATCH($A167,Listone!$A$2:$A$532,0)),""))</f>
        <v/>
      </c>
      <c r="E167" s="2">
        <f>IF($A167="","",IFERROR(INDEX(Listone!$G$2:$G$532,MATCH($A167,Listone!$A$2:$A$532,0)),""))</f>
        <v/>
      </c>
      <c r="F167" s="8" t="n"/>
      <c r="G167" s="8" t="n"/>
      <c r="H167" s="7">
        <f>IF(OR($A167="",$F167=""),"",$F167&amp;"|"&amp;$C167)</f>
        <v/>
      </c>
      <c r="I167" s="7">
        <f>IF($H167="","",COUNTIF($H$4:$H167,$H167))</f>
        <v/>
      </c>
      <c r="J167" s="7">
        <f>IF($H167="","",$H167&amp;"|"&amp;$I167)</f>
        <v/>
      </c>
    </row>
    <row r="168">
      <c r="A168" s="8" t="n"/>
      <c r="B168" s="2">
        <f>IF($A168="","",IFERROR(INDEX(Listone!$B$2:$B$532,MATCH($A168,Listone!$A$2:$A$532,0)),"?"))</f>
        <v/>
      </c>
      <c r="C168" s="2">
        <f>IF($A168="","",IFERROR(INDEX(Listone!$C$2:$C$532,MATCH($A168,Listone!$A$2:$A$532,0)),""))</f>
        <v/>
      </c>
      <c r="D168" s="2">
        <f>IF($A168="","",IFERROR(INDEX(Listone!$D$2:$D$532,MATCH($A168,Listone!$A$2:$A$532,0)),""))</f>
        <v/>
      </c>
      <c r="E168" s="2">
        <f>IF($A168="","",IFERROR(INDEX(Listone!$G$2:$G$532,MATCH($A168,Listone!$A$2:$A$532,0)),""))</f>
        <v/>
      </c>
      <c r="F168" s="8" t="n"/>
      <c r="G168" s="8" t="n"/>
      <c r="H168" s="7">
        <f>IF(OR($A168="",$F168=""),"",$F168&amp;"|"&amp;$C168)</f>
        <v/>
      </c>
      <c r="I168" s="7">
        <f>IF($H168="","",COUNTIF($H$4:$H168,$H168))</f>
        <v/>
      </c>
      <c r="J168" s="7">
        <f>IF($H168="","",$H168&amp;"|"&amp;$I168)</f>
        <v/>
      </c>
    </row>
    <row r="169">
      <c r="A169" s="8" t="n"/>
      <c r="B169" s="2">
        <f>IF($A169="","",IFERROR(INDEX(Listone!$B$2:$B$532,MATCH($A169,Listone!$A$2:$A$532,0)),"?"))</f>
        <v/>
      </c>
      <c r="C169" s="2">
        <f>IF($A169="","",IFERROR(INDEX(Listone!$C$2:$C$532,MATCH($A169,Listone!$A$2:$A$532,0)),""))</f>
        <v/>
      </c>
      <c r="D169" s="2">
        <f>IF($A169="","",IFERROR(INDEX(Listone!$D$2:$D$532,MATCH($A169,Listone!$A$2:$A$532,0)),""))</f>
        <v/>
      </c>
      <c r="E169" s="2">
        <f>IF($A169="","",IFERROR(INDEX(Listone!$G$2:$G$532,MATCH($A169,Listone!$A$2:$A$532,0)),""))</f>
        <v/>
      </c>
      <c r="F169" s="8" t="n"/>
      <c r="G169" s="8" t="n"/>
      <c r="H169" s="7">
        <f>IF(OR($A169="",$F169=""),"",$F169&amp;"|"&amp;$C169)</f>
        <v/>
      </c>
      <c r="I169" s="7">
        <f>IF($H169="","",COUNTIF($H$4:$H169,$H169))</f>
        <v/>
      </c>
      <c r="J169" s="7">
        <f>IF($H169="","",$H169&amp;"|"&amp;$I169)</f>
        <v/>
      </c>
    </row>
    <row r="170">
      <c r="A170" s="8" t="n"/>
      <c r="B170" s="2">
        <f>IF($A170="","",IFERROR(INDEX(Listone!$B$2:$B$532,MATCH($A170,Listone!$A$2:$A$532,0)),"?"))</f>
        <v/>
      </c>
      <c r="C170" s="2">
        <f>IF($A170="","",IFERROR(INDEX(Listone!$C$2:$C$532,MATCH($A170,Listone!$A$2:$A$532,0)),""))</f>
        <v/>
      </c>
      <c r="D170" s="2">
        <f>IF($A170="","",IFERROR(INDEX(Listone!$D$2:$D$532,MATCH($A170,Listone!$A$2:$A$532,0)),""))</f>
        <v/>
      </c>
      <c r="E170" s="2">
        <f>IF($A170="","",IFERROR(INDEX(Listone!$G$2:$G$532,MATCH($A170,Listone!$A$2:$A$532,0)),""))</f>
        <v/>
      </c>
      <c r="F170" s="8" t="n"/>
      <c r="G170" s="8" t="n"/>
      <c r="H170" s="7">
        <f>IF(OR($A170="",$F170=""),"",$F170&amp;"|"&amp;$C170)</f>
        <v/>
      </c>
      <c r="I170" s="7">
        <f>IF($H170="","",COUNTIF($H$4:$H170,$H170))</f>
        <v/>
      </c>
      <c r="J170" s="7">
        <f>IF($H170="","",$H170&amp;"|"&amp;$I170)</f>
        <v/>
      </c>
    </row>
    <row r="171">
      <c r="A171" s="8" t="n"/>
      <c r="B171" s="2">
        <f>IF($A171="","",IFERROR(INDEX(Listone!$B$2:$B$532,MATCH($A171,Listone!$A$2:$A$532,0)),"?"))</f>
        <v/>
      </c>
      <c r="C171" s="2">
        <f>IF($A171="","",IFERROR(INDEX(Listone!$C$2:$C$532,MATCH($A171,Listone!$A$2:$A$532,0)),""))</f>
        <v/>
      </c>
      <c r="D171" s="2">
        <f>IF($A171="","",IFERROR(INDEX(Listone!$D$2:$D$532,MATCH($A171,Listone!$A$2:$A$532,0)),""))</f>
        <v/>
      </c>
      <c r="E171" s="2">
        <f>IF($A171="","",IFERROR(INDEX(Listone!$G$2:$G$532,MATCH($A171,Listone!$A$2:$A$532,0)),""))</f>
        <v/>
      </c>
      <c r="F171" s="8" t="n"/>
      <c r="G171" s="8" t="n"/>
      <c r="H171" s="7">
        <f>IF(OR($A171="",$F171=""),"",$F171&amp;"|"&amp;$C171)</f>
        <v/>
      </c>
      <c r="I171" s="7">
        <f>IF($H171="","",COUNTIF($H$4:$H171,$H171))</f>
        <v/>
      </c>
      <c r="J171" s="7">
        <f>IF($H171="","",$H171&amp;"|"&amp;$I171)</f>
        <v/>
      </c>
    </row>
    <row r="172">
      <c r="A172" s="8" t="n"/>
      <c r="B172" s="2">
        <f>IF($A172="","",IFERROR(INDEX(Listone!$B$2:$B$532,MATCH($A172,Listone!$A$2:$A$532,0)),"?"))</f>
        <v/>
      </c>
      <c r="C172" s="2">
        <f>IF($A172="","",IFERROR(INDEX(Listone!$C$2:$C$532,MATCH($A172,Listone!$A$2:$A$532,0)),""))</f>
        <v/>
      </c>
      <c r="D172" s="2">
        <f>IF($A172="","",IFERROR(INDEX(Listone!$D$2:$D$532,MATCH($A172,Listone!$A$2:$A$532,0)),""))</f>
        <v/>
      </c>
      <c r="E172" s="2">
        <f>IF($A172="","",IFERROR(INDEX(Listone!$G$2:$G$532,MATCH($A172,Listone!$A$2:$A$532,0)),""))</f>
        <v/>
      </c>
      <c r="F172" s="8" t="n"/>
      <c r="G172" s="8" t="n"/>
      <c r="H172" s="7">
        <f>IF(OR($A172="",$F172=""),"",$F172&amp;"|"&amp;$C172)</f>
        <v/>
      </c>
      <c r="I172" s="7">
        <f>IF($H172="","",COUNTIF($H$4:$H172,$H172))</f>
        <v/>
      </c>
      <c r="J172" s="7">
        <f>IF($H172="","",$H172&amp;"|"&amp;$I172)</f>
        <v/>
      </c>
    </row>
    <row r="173">
      <c r="A173" s="8" t="n"/>
      <c r="B173" s="2">
        <f>IF($A173="","",IFERROR(INDEX(Listone!$B$2:$B$532,MATCH($A173,Listone!$A$2:$A$532,0)),"?"))</f>
        <v/>
      </c>
      <c r="C173" s="2">
        <f>IF($A173="","",IFERROR(INDEX(Listone!$C$2:$C$532,MATCH($A173,Listone!$A$2:$A$532,0)),""))</f>
        <v/>
      </c>
      <c r="D173" s="2">
        <f>IF($A173="","",IFERROR(INDEX(Listone!$D$2:$D$532,MATCH($A173,Listone!$A$2:$A$532,0)),""))</f>
        <v/>
      </c>
      <c r="E173" s="2">
        <f>IF($A173="","",IFERROR(INDEX(Listone!$G$2:$G$532,MATCH($A173,Listone!$A$2:$A$532,0)),""))</f>
        <v/>
      </c>
      <c r="F173" s="8" t="n"/>
      <c r="G173" s="8" t="n"/>
      <c r="H173" s="7">
        <f>IF(OR($A173="",$F173=""),"",$F173&amp;"|"&amp;$C173)</f>
        <v/>
      </c>
      <c r="I173" s="7">
        <f>IF($H173="","",COUNTIF($H$4:$H173,$H173))</f>
        <v/>
      </c>
      <c r="J173" s="7">
        <f>IF($H173="","",$H173&amp;"|"&amp;$I173)</f>
        <v/>
      </c>
    </row>
    <row r="174">
      <c r="A174" s="8" t="n"/>
      <c r="B174" s="2">
        <f>IF($A174="","",IFERROR(INDEX(Listone!$B$2:$B$532,MATCH($A174,Listone!$A$2:$A$532,0)),"?"))</f>
        <v/>
      </c>
      <c r="C174" s="2">
        <f>IF($A174="","",IFERROR(INDEX(Listone!$C$2:$C$532,MATCH($A174,Listone!$A$2:$A$532,0)),""))</f>
        <v/>
      </c>
      <c r="D174" s="2">
        <f>IF($A174="","",IFERROR(INDEX(Listone!$D$2:$D$532,MATCH($A174,Listone!$A$2:$A$532,0)),""))</f>
        <v/>
      </c>
      <c r="E174" s="2">
        <f>IF($A174="","",IFERROR(INDEX(Listone!$G$2:$G$532,MATCH($A174,Listone!$A$2:$A$532,0)),""))</f>
        <v/>
      </c>
      <c r="F174" s="8" t="n"/>
      <c r="G174" s="8" t="n"/>
      <c r="H174" s="7">
        <f>IF(OR($A174="",$F174=""),"",$F174&amp;"|"&amp;$C174)</f>
        <v/>
      </c>
      <c r="I174" s="7">
        <f>IF($H174="","",COUNTIF($H$4:$H174,$H174))</f>
        <v/>
      </c>
      <c r="J174" s="7">
        <f>IF($H174="","",$H174&amp;"|"&amp;$I174)</f>
        <v/>
      </c>
    </row>
    <row r="175">
      <c r="A175" s="8" t="n"/>
      <c r="B175" s="2">
        <f>IF($A175="","",IFERROR(INDEX(Listone!$B$2:$B$532,MATCH($A175,Listone!$A$2:$A$532,0)),"?"))</f>
        <v/>
      </c>
      <c r="C175" s="2">
        <f>IF($A175="","",IFERROR(INDEX(Listone!$C$2:$C$532,MATCH($A175,Listone!$A$2:$A$532,0)),""))</f>
        <v/>
      </c>
      <c r="D175" s="2">
        <f>IF($A175="","",IFERROR(INDEX(Listone!$D$2:$D$532,MATCH($A175,Listone!$A$2:$A$532,0)),""))</f>
        <v/>
      </c>
      <c r="E175" s="2">
        <f>IF($A175="","",IFERROR(INDEX(Listone!$G$2:$G$532,MATCH($A175,Listone!$A$2:$A$532,0)),""))</f>
        <v/>
      </c>
      <c r="F175" s="8" t="n"/>
      <c r="G175" s="8" t="n"/>
      <c r="H175" s="7">
        <f>IF(OR($A175="",$F175=""),"",$F175&amp;"|"&amp;$C175)</f>
        <v/>
      </c>
      <c r="I175" s="7">
        <f>IF($H175="","",COUNTIF($H$4:$H175,$H175))</f>
        <v/>
      </c>
      <c r="J175" s="7">
        <f>IF($H175="","",$H175&amp;"|"&amp;$I175)</f>
        <v/>
      </c>
    </row>
    <row r="176">
      <c r="A176" s="8" t="n"/>
      <c r="B176" s="2">
        <f>IF($A176="","",IFERROR(INDEX(Listone!$B$2:$B$532,MATCH($A176,Listone!$A$2:$A$532,0)),"?"))</f>
        <v/>
      </c>
      <c r="C176" s="2">
        <f>IF($A176="","",IFERROR(INDEX(Listone!$C$2:$C$532,MATCH($A176,Listone!$A$2:$A$532,0)),""))</f>
        <v/>
      </c>
      <c r="D176" s="2">
        <f>IF($A176="","",IFERROR(INDEX(Listone!$D$2:$D$532,MATCH($A176,Listone!$A$2:$A$532,0)),""))</f>
        <v/>
      </c>
      <c r="E176" s="2">
        <f>IF($A176="","",IFERROR(INDEX(Listone!$G$2:$G$532,MATCH($A176,Listone!$A$2:$A$532,0)),""))</f>
        <v/>
      </c>
      <c r="F176" s="8" t="n"/>
      <c r="G176" s="8" t="n"/>
      <c r="H176" s="7">
        <f>IF(OR($A176="",$F176=""),"",$F176&amp;"|"&amp;$C176)</f>
        <v/>
      </c>
      <c r="I176" s="7">
        <f>IF($H176="","",COUNTIF($H$4:$H176,$H176))</f>
        <v/>
      </c>
      <c r="J176" s="7">
        <f>IF($H176="","",$H176&amp;"|"&amp;$I176)</f>
        <v/>
      </c>
    </row>
    <row r="177">
      <c r="A177" s="8" t="n"/>
      <c r="B177" s="2">
        <f>IF($A177="","",IFERROR(INDEX(Listone!$B$2:$B$532,MATCH($A177,Listone!$A$2:$A$532,0)),"?"))</f>
        <v/>
      </c>
      <c r="C177" s="2">
        <f>IF($A177="","",IFERROR(INDEX(Listone!$C$2:$C$532,MATCH($A177,Listone!$A$2:$A$532,0)),""))</f>
        <v/>
      </c>
      <c r="D177" s="2">
        <f>IF($A177="","",IFERROR(INDEX(Listone!$D$2:$D$532,MATCH($A177,Listone!$A$2:$A$532,0)),""))</f>
        <v/>
      </c>
      <c r="E177" s="2">
        <f>IF($A177="","",IFERROR(INDEX(Listone!$G$2:$G$532,MATCH($A177,Listone!$A$2:$A$532,0)),""))</f>
        <v/>
      </c>
      <c r="F177" s="8" t="n"/>
      <c r="G177" s="8" t="n"/>
      <c r="H177" s="7">
        <f>IF(OR($A177="",$F177=""),"",$F177&amp;"|"&amp;$C177)</f>
        <v/>
      </c>
      <c r="I177" s="7">
        <f>IF($H177="","",COUNTIF($H$4:$H177,$H177))</f>
        <v/>
      </c>
      <c r="J177" s="7">
        <f>IF($H177="","",$H177&amp;"|"&amp;$I177)</f>
        <v/>
      </c>
    </row>
    <row r="178">
      <c r="A178" s="8" t="n"/>
      <c r="B178" s="2">
        <f>IF($A178="","",IFERROR(INDEX(Listone!$B$2:$B$532,MATCH($A178,Listone!$A$2:$A$532,0)),"?"))</f>
        <v/>
      </c>
      <c r="C178" s="2">
        <f>IF($A178="","",IFERROR(INDEX(Listone!$C$2:$C$532,MATCH($A178,Listone!$A$2:$A$532,0)),""))</f>
        <v/>
      </c>
      <c r="D178" s="2">
        <f>IF($A178="","",IFERROR(INDEX(Listone!$D$2:$D$532,MATCH($A178,Listone!$A$2:$A$532,0)),""))</f>
        <v/>
      </c>
      <c r="E178" s="2">
        <f>IF($A178="","",IFERROR(INDEX(Listone!$G$2:$G$532,MATCH($A178,Listone!$A$2:$A$532,0)),""))</f>
        <v/>
      </c>
      <c r="F178" s="8" t="n"/>
      <c r="G178" s="8" t="n"/>
      <c r="H178" s="7">
        <f>IF(OR($A178="",$F178=""),"",$F178&amp;"|"&amp;$C178)</f>
        <v/>
      </c>
      <c r="I178" s="7">
        <f>IF($H178="","",COUNTIF($H$4:$H178,$H178))</f>
        <v/>
      </c>
      <c r="J178" s="7">
        <f>IF($H178="","",$H178&amp;"|"&amp;$I178)</f>
        <v/>
      </c>
    </row>
    <row r="179">
      <c r="A179" s="8" t="n"/>
      <c r="B179" s="2">
        <f>IF($A179="","",IFERROR(INDEX(Listone!$B$2:$B$532,MATCH($A179,Listone!$A$2:$A$532,0)),"?"))</f>
        <v/>
      </c>
      <c r="C179" s="2">
        <f>IF($A179="","",IFERROR(INDEX(Listone!$C$2:$C$532,MATCH($A179,Listone!$A$2:$A$532,0)),""))</f>
        <v/>
      </c>
      <c r="D179" s="2">
        <f>IF($A179="","",IFERROR(INDEX(Listone!$D$2:$D$532,MATCH($A179,Listone!$A$2:$A$532,0)),""))</f>
        <v/>
      </c>
      <c r="E179" s="2">
        <f>IF($A179="","",IFERROR(INDEX(Listone!$G$2:$G$532,MATCH($A179,Listone!$A$2:$A$532,0)),""))</f>
        <v/>
      </c>
      <c r="F179" s="8" t="n"/>
      <c r="G179" s="8" t="n"/>
      <c r="H179" s="7">
        <f>IF(OR($A179="",$F179=""),"",$F179&amp;"|"&amp;$C179)</f>
        <v/>
      </c>
      <c r="I179" s="7">
        <f>IF($H179="","",COUNTIF($H$4:$H179,$H179))</f>
        <v/>
      </c>
      <c r="J179" s="7">
        <f>IF($H179="","",$H179&amp;"|"&amp;$I179)</f>
        <v/>
      </c>
    </row>
    <row r="180">
      <c r="A180" s="8" t="n"/>
      <c r="B180" s="2">
        <f>IF($A180="","",IFERROR(INDEX(Listone!$B$2:$B$532,MATCH($A180,Listone!$A$2:$A$532,0)),"?"))</f>
        <v/>
      </c>
      <c r="C180" s="2">
        <f>IF($A180="","",IFERROR(INDEX(Listone!$C$2:$C$532,MATCH($A180,Listone!$A$2:$A$532,0)),""))</f>
        <v/>
      </c>
      <c r="D180" s="2">
        <f>IF($A180="","",IFERROR(INDEX(Listone!$D$2:$D$532,MATCH($A180,Listone!$A$2:$A$532,0)),""))</f>
        <v/>
      </c>
      <c r="E180" s="2">
        <f>IF($A180="","",IFERROR(INDEX(Listone!$G$2:$G$532,MATCH($A180,Listone!$A$2:$A$532,0)),""))</f>
        <v/>
      </c>
      <c r="F180" s="8" t="n"/>
      <c r="G180" s="8" t="n"/>
      <c r="H180" s="7">
        <f>IF(OR($A180="",$F180=""),"",$F180&amp;"|"&amp;$C180)</f>
        <v/>
      </c>
      <c r="I180" s="7">
        <f>IF($H180="","",COUNTIF($H$4:$H180,$H180))</f>
        <v/>
      </c>
      <c r="J180" s="7">
        <f>IF($H180="","",$H180&amp;"|"&amp;$I180)</f>
        <v/>
      </c>
    </row>
    <row r="181">
      <c r="A181" s="8" t="n"/>
      <c r="B181" s="2">
        <f>IF($A181="","",IFERROR(INDEX(Listone!$B$2:$B$532,MATCH($A181,Listone!$A$2:$A$532,0)),"?"))</f>
        <v/>
      </c>
      <c r="C181" s="2">
        <f>IF($A181="","",IFERROR(INDEX(Listone!$C$2:$C$532,MATCH($A181,Listone!$A$2:$A$532,0)),""))</f>
        <v/>
      </c>
      <c r="D181" s="2">
        <f>IF($A181="","",IFERROR(INDEX(Listone!$D$2:$D$532,MATCH($A181,Listone!$A$2:$A$532,0)),""))</f>
        <v/>
      </c>
      <c r="E181" s="2">
        <f>IF($A181="","",IFERROR(INDEX(Listone!$G$2:$G$532,MATCH($A181,Listone!$A$2:$A$532,0)),""))</f>
        <v/>
      </c>
      <c r="F181" s="8" t="n"/>
      <c r="G181" s="8" t="n"/>
      <c r="H181" s="7">
        <f>IF(OR($A181="",$F181=""),"",$F181&amp;"|"&amp;$C181)</f>
        <v/>
      </c>
      <c r="I181" s="7">
        <f>IF($H181="","",COUNTIF($H$4:$H181,$H181))</f>
        <v/>
      </c>
      <c r="J181" s="7">
        <f>IF($H181="","",$H181&amp;"|"&amp;$I181)</f>
        <v/>
      </c>
    </row>
    <row r="182">
      <c r="A182" s="8" t="n"/>
      <c r="B182" s="2">
        <f>IF($A182="","",IFERROR(INDEX(Listone!$B$2:$B$532,MATCH($A182,Listone!$A$2:$A$532,0)),"?"))</f>
        <v/>
      </c>
      <c r="C182" s="2">
        <f>IF($A182="","",IFERROR(INDEX(Listone!$C$2:$C$532,MATCH($A182,Listone!$A$2:$A$532,0)),""))</f>
        <v/>
      </c>
      <c r="D182" s="2">
        <f>IF($A182="","",IFERROR(INDEX(Listone!$D$2:$D$532,MATCH($A182,Listone!$A$2:$A$532,0)),""))</f>
        <v/>
      </c>
      <c r="E182" s="2">
        <f>IF($A182="","",IFERROR(INDEX(Listone!$G$2:$G$532,MATCH($A182,Listone!$A$2:$A$532,0)),""))</f>
        <v/>
      </c>
      <c r="F182" s="8" t="n"/>
      <c r="G182" s="8" t="n"/>
      <c r="H182" s="7">
        <f>IF(OR($A182="",$F182=""),"",$F182&amp;"|"&amp;$C182)</f>
        <v/>
      </c>
      <c r="I182" s="7">
        <f>IF($H182="","",COUNTIF($H$4:$H182,$H182))</f>
        <v/>
      </c>
      <c r="J182" s="7">
        <f>IF($H182="","",$H182&amp;"|"&amp;$I182)</f>
        <v/>
      </c>
    </row>
    <row r="183">
      <c r="A183" s="8" t="n"/>
      <c r="B183" s="2">
        <f>IF($A183="","",IFERROR(INDEX(Listone!$B$2:$B$532,MATCH($A183,Listone!$A$2:$A$532,0)),"?"))</f>
        <v/>
      </c>
      <c r="C183" s="2">
        <f>IF($A183="","",IFERROR(INDEX(Listone!$C$2:$C$532,MATCH($A183,Listone!$A$2:$A$532,0)),""))</f>
        <v/>
      </c>
      <c r="D183" s="2">
        <f>IF($A183="","",IFERROR(INDEX(Listone!$D$2:$D$532,MATCH($A183,Listone!$A$2:$A$532,0)),""))</f>
        <v/>
      </c>
      <c r="E183" s="2">
        <f>IF($A183="","",IFERROR(INDEX(Listone!$G$2:$G$532,MATCH($A183,Listone!$A$2:$A$532,0)),""))</f>
        <v/>
      </c>
      <c r="F183" s="8" t="n"/>
      <c r="G183" s="8" t="n"/>
      <c r="H183" s="7">
        <f>IF(OR($A183="",$F183=""),"",$F183&amp;"|"&amp;$C183)</f>
        <v/>
      </c>
      <c r="I183" s="7">
        <f>IF($H183="","",COUNTIF($H$4:$H183,$H183))</f>
        <v/>
      </c>
      <c r="J183" s="7">
        <f>IF($H183="","",$H183&amp;"|"&amp;$I183)</f>
        <v/>
      </c>
    </row>
    <row r="184">
      <c r="A184" s="8" t="n"/>
      <c r="B184" s="2">
        <f>IF($A184="","",IFERROR(INDEX(Listone!$B$2:$B$532,MATCH($A184,Listone!$A$2:$A$532,0)),"?"))</f>
        <v/>
      </c>
      <c r="C184" s="2">
        <f>IF($A184="","",IFERROR(INDEX(Listone!$C$2:$C$532,MATCH($A184,Listone!$A$2:$A$532,0)),""))</f>
        <v/>
      </c>
      <c r="D184" s="2">
        <f>IF($A184="","",IFERROR(INDEX(Listone!$D$2:$D$532,MATCH($A184,Listone!$A$2:$A$532,0)),""))</f>
        <v/>
      </c>
      <c r="E184" s="2">
        <f>IF($A184="","",IFERROR(INDEX(Listone!$G$2:$G$532,MATCH($A184,Listone!$A$2:$A$532,0)),""))</f>
        <v/>
      </c>
      <c r="F184" s="8" t="n"/>
      <c r="G184" s="8" t="n"/>
      <c r="H184" s="7">
        <f>IF(OR($A184="",$F184=""),"",$F184&amp;"|"&amp;$C184)</f>
        <v/>
      </c>
      <c r="I184" s="7">
        <f>IF($H184="","",COUNTIF($H$4:$H184,$H184))</f>
        <v/>
      </c>
      <c r="J184" s="7">
        <f>IF($H184="","",$H184&amp;"|"&amp;$I184)</f>
        <v/>
      </c>
    </row>
    <row r="185">
      <c r="A185" s="8" t="n"/>
      <c r="B185" s="2">
        <f>IF($A185="","",IFERROR(INDEX(Listone!$B$2:$B$532,MATCH($A185,Listone!$A$2:$A$532,0)),"?"))</f>
        <v/>
      </c>
      <c r="C185" s="2">
        <f>IF($A185="","",IFERROR(INDEX(Listone!$C$2:$C$532,MATCH($A185,Listone!$A$2:$A$532,0)),""))</f>
        <v/>
      </c>
      <c r="D185" s="2">
        <f>IF($A185="","",IFERROR(INDEX(Listone!$D$2:$D$532,MATCH($A185,Listone!$A$2:$A$532,0)),""))</f>
        <v/>
      </c>
      <c r="E185" s="2">
        <f>IF($A185="","",IFERROR(INDEX(Listone!$G$2:$G$532,MATCH($A185,Listone!$A$2:$A$532,0)),""))</f>
        <v/>
      </c>
      <c r="F185" s="8" t="n"/>
      <c r="G185" s="8" t="n"/>
      <c r="H185" s="7">
        <f>IF(OR($A185="",$F185=""),"",$F185&amp;"|"&amp;$C185)</f>
        <v/>
      </c>
      <c r="I185" s="7">
        <f>IF($H185="","",COUNTIF($H$4:$H185,$H185))</f>
        <v/>
      </c>
      <c r="J185" s="7">
        <f>IF($H185="","",$H185&amp;"|"&amp;$I185)</f>
        <v/>
      </c>
    </row>
    <row r="186">
      <c r="A186" s="8" t="n"/>
      <c r="B186" s="2">
        <f>IF($A186="","",IFERROR(INDEX(Listone!$B$2:$B$532,MATCH($A186,Listone!$A$2:$A$532,0)),"?"))</f>
        <v/>
      </c>
      <c r="C186" s="2">
        <f>IF($A186="","",IFERROR(INDEX(Listone!$C$2:$C$532,MATCH($A186,Listone!$A$2:$A$532,0)),""))</f>
        <v/>
      </c>
      <c r="D186" s="2">
        <f>IF($A186="","",IFERROR(INDEX(Listone!$D$2:$D$532,MATCH($A186,Listone!$A$2:$A$532,0)),""))</f>
        <v/>
      </c>
      <c r="E186" s="2">
        <f>IF($A186="","",IFERROR(INDEX(Listone!$G$2:$G$532,MATCH($A186,Listone!$A$2:$A$532,0)),""))</f>
        <v/>
      </c>
      <c r="F186" s="8" t="n"/>
      <c r="G186" s="8" t="n"/>
      <c r="H186" s="7">
        <f>IF(OR($A186="",$F186=""),"",$F186&amp;"|"&amp;$C186)</f>
        <v/>
      </c>
      <c r="I186" s="7">
        <f>IF($H186="","",COUNTIF($H$4:$H186,$H186))</f>
        <v/>
      </c>
      <c r="J186" s="7">
        <f>IF($H186="","",$H186&amp;"|"&amp;$I186)</f>
        <v/>
      </c>
    </row>
    <row r="187">
      <c r="A187" s="8" t="n"/>
      <c r="B187" s="2">
        <f>IF($A187="","",IFERROR(INDEX(Listone!$B$2:$B$532,MATCH($A187,Listone!$A$2:$A$532,0)),"?"))</f>
        <v/>
      </c>
      <c r="C187" s="2">
        <f>IF($A187="","",IFERROR(INDEX(Listone!$C$2:$C$532,MATCH($A187,Listone!$A$2:$A$532,0)),""))</f>
        <v/>
      </c>
      <c r="D187" s="2">
        <f>IF($A187="","",IFERROR(INDEX(Listone!$D$2:$D$532,MATCH($A187,Listone!$A$2:$A$532,0)),""))</f>
        <v/>
      </c>
      <c r="E187" s="2">
        <f>IF($A187="","",IFERROR(INDEX(Listone!$G$2:$G$532,MATCH($A187,Listone!$A$2:$A$532,0)),""))</f>
        <v/>
      </c>
      <c r="F187" s="8" t="n"/>
      <c r="G187" s="8" t="n"/>
      <c r="H187" s="7">
        <f>IF(OR($A187="",$F187=""),"",$F187&amp;"|"&amp;$C187)</f>
        <v/>
      </c>
      <c r="I187" s="7">
        <f>IF($H187="","",COUNTIF($H$4:$H187,$H187))</f>
        <v/>
      </c>
      <c r="J187" s="7">
        <f>IF($H187="","",$H187&amp;"|"&amp;$I187)</f>
        <v/>
      </c>
    </row>
    <row r="188">
      <c r="A188" s="8" t="n"/>
      <c r="B188" s="2">
        <f>IF($A188="","",IFERROR(INDEX(Listone!$B$2:$B$532,MATCH($A188,Listone!$A$2:$A$532,0)),"?"))</f>
        <v/>
      </c>
      <c r="C188" s="2">
        <f>IF($A188="","",IFERROR(INDEX(Listone!$C$2:$C$532,MATCH($A188,Listone!$A$2:$A$532,0)),""))</f>
        <v/>
      </c>
      <c r="D188" s="2">
        <f>IF($A188="","",IFERROR(INDEX(Listone!$D$2:$D$532,MATCH($A188,Listone!$A$2:$A$532,0)),""))</f>
        <v/>
      </c>
      <c r="E188" s="2">
        <f>IF($A188="","",IFERROR(INDEX(Listone!$G$2:$G$532,MATCH($A188,Listone!$A$2:$A$532,0)),""))</f>
        <v/>
      </c>
      <c r="F188" s="8" t="n"/>
      <c r="G188" s="8" t="n"/>
      <c r="H188" s="7">
        <f>IF(OR($A188="",$F188=""),"",$F188&amp;"|"&amp;$C188)</f>
        <v/>
      </c>
      <c r="I188" s="7">
        <f>IF($H188="","",COUNTIF($H$4:$H188,$H188))</f>
        <v/>
      </c>
      <c r="J188" s="7">
        <f>IF($H188="","",$H188&amp;"|"&amp;$I188)</f>
        <v/>
      </c>
    </row>
    <row r="189">
      <c r="A189" s="8" t="n"/>
      <c r="B189" s="2">
        <f>IF($A189="","",IFERROR(INDEX(Listone!$B$2:$B$532,MATCH($A189,Listone!$A$2:$A$532,0)),"?"))</f>
        <v/>
      </c>
      <c r="C189" s="2">
        <f>IF($A189="","",IFERROR(INDEX(Listone!$C$2:$C$532,MATCH($A189,Listone!$A$2:$A$532,0)),""))</f>
        <v/>
      </c>
      <c r="D189" s="2">
        <f>IF($A189="","",IFERROR(INDEX(Listone!$D$2:$D$532,MATCH($A189,Listone!$A$2:$A$532,0)),""))</f>
        <v/>
      </c>
      <c r="E189" s="2">
        <f>IF($A189="","",IFERROR(INDEX(Listone!$G$2:$G$532,MATCH($A189,Listone!$A$2:$A$532,0)),""))</f>
        <v/>
      </c>
      <c r="F189" s="8" t="n"/>
      <c r="G189" s="8" t="n"/>
      <c r="H189" s="7">
        <f>IF(OR($A189="",$F189=""),"",$F189&amp;"|"&amp;$C189)</f>
        <v/>
      </c>
      <c r="I189" s="7">
        <f>IF($H189="","",COUNTIF($H$4:$H189,$H189))</f>
        <v/>
      </c>
      <c r="J189" s="7">
        <f>IF($H189="","",$H189&amp;"|"&amp;$I189)</f>
        <v/>
      </c>
    </row>
    <row r="190">
      <c r="A190" s="8" t="n"/>
      <c r="B190" s="2">
        <f>IF($A190="","",IFERROR(INDEX(Listone!$B$2:$B$532,MATCH($A190,Listone!$A$2:$A$532,0)),"?"))</f>
        <v/>
      </c>
      <c r="C190" s="2">
        <f>IF($A190="","",IFERROR(INDEX(Listone!$C$2:$C$532,MATCH($A190,Listone!$A$2:$A$532,0)),""))</f>
        <v/>
      </c>
      <c r="D190" s="2">
        <f>IF($A190="","",IFERROR(INDEX(Listone!$D$2:$D$532,MATCH($A190,Listone!$A$2:$A$532,0)),""))</f>
        <v/>
      </c>
      <c r="E190" s="2">
        <f>IF($A190="","",IFERROR(INDEX(Listone!$G$2:$G$532,MATCH($A190,Listone!$A$2:$A$532,0)),""))</f>
        <v/>
      </c>
      <c r="F190" s="8" t="n"/>
      <c r="G190" s="8" t="n"/>
      <c r="H190" s="7">
        <f>IF(OR($A190="",$F190=""),"",$F190&amp;"|"&amp;$C190)</f>
        <v/>
      </c>
      <c r="I190" s="7">
        <f>IF($H190="","",COUNTIF($H$4:$H190,$H190))</f>
        <v/>
      </c>
      <c r="J190" s="7">
        <f>IF($H190="","",$H190&amp;"|"&amp;$I190)</f>
        <v/>
      </c>
    </row>
    <row r="191">
      <c r="A191" s="8" t="n"/>
      <c r="B191" s="2">
        <f>IF($A191="","",IFERROR(INDEX(Listone!$B$2:$B$532,MATCH($A191,Listone!$A$2:$A$532,0)),"?"))</f>
        <v/>
      </c>
      <c r="C191" s="2">
        <f>IF($A191="","",IFERROR(INDEX(Listone!$C$2:$C$532,MATCH($A191,Listone!$A$2:$A$532,0)),""))</f>
        <v/>
      </c>
      <c r="D191" s="2">
        <f>IF($A191="","",IFERROR(INDEX(Listone!$D$2:$D$532,MATCH($A191,Listone!$A$2:$A$532,0)),""))</f>
        <v/>
      </c>
      <c r="E191" s="2">
        <f>IF($A191="","",IFERROR(INDEX(Listone!$G$2:$G$532,MATCH($A191,Listone!$A$2:$A$532,0)),""))</f>
        <v/>
      </c>
      <c r="F191" s="8" t="n"/>
      <c r="G191" s="8" t="n"/>
      <c r="H191" s="7">
        <f>IF(OR($A191="",$F191=""),"",$F191&amp;"|"&amp;$C191)</f>
        <v/>
      </c>
      <c r="I191" s="7">
        <f>IF($H191="","",COUNTIF($H$4:$H191,$H191))</f>
        <v/>
      </c>
      <c r="J191" s="7">
        <f>IF($H191="","",$H191&amp;"|"&amp;$I191)</f>
        <v/>
      </c>
    </row>
    <row r="192">
      <c r="A192" s="8" t="n"/>
      <c r="B192" s="2">
        <f>IF($A192="","",IFERROR(INDEX(Listone!$B$2:$B$532,MATCH($A192,Listone!$A$2:$A$532,0)),"?"))</f>
        <v/>
      </c>
      <c r="C192" s="2">
        <f>IF($A192="","",IFERROR(INDEX(Listone!$C$2:$C$532,MATCH($A192,Listone!$A$2:$A$532,0)),""))</f>
        <v/>
      </c>
      <c r="D192" s="2">
        <f>IF($A192="","",IFERROR(INDEX(Listone!$D$2:$D$532,MATCH($A192,Listone!$A$2:$A$532,0)),""))</f>
        <v/>
      </c>
      <c r="E192" s="2">
        <f>IF($A192="","",IFERROR(INDEX(Listone!$G$2:$G$532,MATCH($A192,Listone!$A$2:$A$532,0)),""))</f>
        <v/>
      </c>
      <c r="F192" s="8" t="n"/>
      <c r="G192" s="8" t="n"/>
      <c r="H192" s="7">
        <f>IF(OR($A192="",$F192=""),"",$F192&amp;"|"&amp;$C192)</f>
        <v/>
      </c>
      <c r="I192" s="7">
        <f>IF($H192="","",COUNTIF($H$4:$H192,$H192))</f>
        <v/>
      </c>
      <c r="J192" s="7">
        <f>IF($H192="","",$H192&amp;"|"&amp;$I192)</f>
        <v/>
      </c>
    </row>
    <row r="193">
      <c r="A193" s="8" t="n"/>
      <c r="B193" s="2">
        <f>IF($A193="","",IFERROR(INDEX(Listone!$B$2:$B$532,MATCH($A193,Listone!$A$2:$A$532,0)),"?"))</f>
        <v/>
      </c>
      <c r="C193" s="2">
        <f>IF($A193="","",IFERROR(INDEX(Listone!$C$2:$C$532,MATCH($A193,Listone!$A$2:$A$532,0)),""))</f>
        <v/>
      </c>
      <c r="D193" s="2">
        <f>IF($A193="","",IFERROR(INDEX(Listone!$D$2:$D$532,MATCH($A193,Listone!$A$2:$A$532,0)),""))</f>
        <v/>
      </c>
      <c r="E193" s="2">
        <f>IF($A193="","",IFERROR(INDEX(Listone!$G$2:$G$532,MATCH($A193,Listone!$A$2:$A$532,0)),""))</f>
        <v/>
      </c>
      <c r="F193" s="8" t="n"/>
      <c r="G193" s="8" t="n"/>
      <c r="H193" s="7">
        <f>IF(OR($A193="",$F193=""),"",$F193&amp;"|"&amp;$C193)</f>
        <v/>
      </c>
      <c r="I193" s="7">
        <f>IF($H193="","",COUNTIF($H$4:$H193,$H193))</f>
        <v/>
      </c>
      <c r="J193" s="7">
        <f>IF($H193="","",$H193&amp;"|"&amp;$I193)</f>
        <v/>
      </c>
    </row>
    <row r="194">
      <c r="A194" s="8" t="n"/>
      <c r="B194" s="2">
        <f>IF($A194="","",IFERROR(INDEX(Listone!$B$2:$B$532,MATCH($A194,Listone!$A$2:$A$532,0)),"?"))</f>
        <v/>
      </c>
      <c r="C194" s="2">
        <f>IF($A194="","",IFERROR(INDEX(Listone!$C$2:$C$532,MATCH($A194,Listone!$A$2:$A$532,0)),""))</f>
        <v/>
      </c>
      <c r="D194" s="2">
        <f>IF($A194="","",IFERROR(INDEX(Listone!$D$2:$D$532,MATCH($A194,Listone!$A$2:$A$532,0)),""))</f>
        <v/>
      </c>
      <c r="E194" s="2">
        <f>IF($A194="","",IFERROR(INDEX(Listone!$G$2:$G$532,MATCH($A194,Listone!$A$2:$A$532,0)),""))</f>
        <v/>
      </c>
      <c r="F194" s="8" t="n"/>
      <c r="G194" s="8" t="n"/>
      <c r="H194" s="7">
        <f>IF(OR($A194="",$F194=""),"",$F194&amp;"|"&amp;$C194)</f>
        <v/>
      </c>
      <c r="I194" s="7">
        <f>IF($H194="","",COUNTIF($H$4:$H194,$H194))</f>
        <v/>
      </c>
      <c r="J194" s="7">
        <f>IF($H194="","",$H194&amp;"|"&amp;$I194)</f>
        <v/>
      </c>
    </row>
    <row r="195">
      <c r="A195" s="8" t="n"/>
      <c r="B195" s="2">
        <f>IF($A195="","",IFERROR(INDEX(Listone!$B$2:$B$532,MATCH($A195,Listone!$A$2:$A$532,0)),"?"))</f>
        <v/>
      </c>
      <c r="C195" s="2">
        <f>IF($A195="","",IFERROR(INDEX(Listone!$C$2:$C$532,MATCH($A195,Listone!$A$2:$A$532,0)),""))</f>
        <v/>
      </c>
      <c r="D195" s="2">
        <f>IF($A195="","",IFERROR(INDEX(Listone!$D$2:$D$532,MATCH($A195,Listone!$A$2:$A$532,0)),""))</f>
        <v/>
      </c>
      <c r="E195" s="2">
        <f>IF($A195="","",IFERROR(INDEX(Listone!$G$2:$G$532,MATCH($A195,Listone!$A$2:$A$532,0)),""))</f>
        <v/>
      </c>
      <c r="F195" s="8" t="n"/>
      <c r="G195" s="8" t="n"/>
      <c r="H195" s="7">
        <f>IF(OR($A195="",$F195=""),"",$F195&amp;"|"&amp;$C195)</f>
        <v/>
      </c>
      <c r="I195" s="7">
        <f>IF($H195="","",COUNTIF($H$4:$H195,$H195))</f>
        <v/>
      </c>
      <c r="J195" s="7">
        <f>IF($H195="","",$H195&amp;"|"&amp;$I195)</f>
        <v/>
      </c>
    </row>
    <row r="196">
      <c r="A196" s="8" t="n"/>
      <c r="B196" s="2">
        <f>IF($A196="","",IFERROR(INDEX(Listone!$B$2:$B$532,MATCH($A196,Listone!$A$2:$A$532,0)),"?"))</f>
        <v/>
      </c>
      <c r="C196" s="2">
        <f>IF($A196="","",IFERROR(INDEX(Listone!$C$2:$C$532,MATCH($A196,Listone!$A$2:$A$532,0)),""))</f>
        <v/>
      </c>
      <c r="D196" s="2">
        <f>IF($A196="","",IFERROR(INDEX(Listone!$D$2:$D$532,MATCH($A196,Listone!$A$2:$A$532,0)),""))</f>
        <v/>
      </c>
      <c r="E196" s="2">
        <f>IF($A196="","",IFERROR(INDEX(Listone!$G$2:$G$532,MATCH($A196,Listone!$A$2:$A$532,0)),""))</f>
        <v/>
      </c>
      <c r="F196" s="8" t="n"/>
      <c r="G196" s="8" t="n"/>
      <c r="H196" s="7">
        <f>IF(OR($A196="",$F196=""),"",$F196&amp;"|"&amp;$C196)</f>
        <v/>
      </c>
      <c r="I196" s="7">
        <f>IF($H196="","",COUNTIF($H$4:$H196,$H196))</f>
        <v/>
      </c>
      <c r="J196" s="7">
        <f>IF($H196="","",$H196&amp;"|"&amp;$I196)</f>
        <v/>
      </c>
    </row>
    <row r="197">
      <c r="A197" s="8" t="n"/>
      <c r="B197" s="2">
        <f>IF($A197="","",IFERROR(INDEX(Listone!$B$2:$B$532,MATCH($A197,Listone!$A$2:$A$532,0)),"?"))</f>
        <v/>
      </c>
      <c r="C197" s="2">
        <f>IF($A197="","",IFERROR(INDEX(Listone!$C$2:$C$532,MATCH($A197,Listone!$A$2:$A$532,0)),""))</f>
        <v/>
      </c>
      <c r="D197" s="2">
        <f>IF($A197="","",IFERROR(INDEX(Listone!$D$2:$D$532,MATCH($A197,Listone!$A$2:$A$532,0)),""))</f>
        <v/>
      </c>
      <c r="E197" s="2">
        <f>IF($A197="","",IFERROR(INDEX(Listone!$G$2:$G$532,MATCH($A197,Listone!$A$2:$A$532,0)),""))</f>
        <v/>
      </c>
      <c r="F197" s="8" t="n"/>
      <c r="G197" s="8" t="n"/>
      <c r="H197" s="7">
        <f>IF(OR($A197="",$F197=""),"",$F197&amp;"|"&amp;$C197)</f>
        <v/>
      </c>
      <c r="I197" s="7">
        <f>IF($H197="","",COUNTIF($H$4:$H197,$H197))</f>
        <v/>
      </c>
      <c r="J197" s="7">
        <f>IF($H197="","",$H197&amp;"|"&amp;$I197)</f>
        <v/>
      </c>
    </row>
    <row r="198">
      <c r="A198" s="8" t="n"/>
      <c r="B198" s="2">
        <f>IF($A198="","",IFERROR(INDEX(Listone!$B$2:$B$532,MATCH($A198,Listone!$A$2:$A$532,0)),"?"))</f>
        <v/>
      </c>
      <c r="C198" s="2">
        <f>IF($A198="","",IFERROR(INDEX(Listone!$C$2:$C$532,MATCH($A198,Listone!$A$2:$A$532,0)),""))</f>
        <v/>
      </c>
      <c r="D198" s="2">
        <f>IF($A198="","",IFERROR(INDEX(Listone!$D$2:$D$532,MATCH($A198,Listone!$A$2:$A$532,0)),""))</f>
        <v/>
      </c>
      <c r="E198" s="2">
        <f>IF($A198="","",IFERROR(INDEX(Listone!$G$2:$G$532,MATCH($A198,Listone!$A$2:$A$532,0)),""))</f>
        <v/>
      </c>
      <c r="F198" s="8" t="n"/>
      <c r="G198" s="8" t="n"/>
      <c r="H198" s="7">
        <f>IF(OR($A198="",$F198=""),"",$F198&amp;"|"&amp;$C198)</f>
        <v/>
      </c>
      <c r="I198" s="7">
        <f>IF($H198="","",COUNTIF($H$4:$H198,$H198))</f>
        <v/>
      </c>
      <c r="J198" s="7">
        <f>IF($H198="","",$H198&amp;"|"&amp;$I198)</f>
        <v/>
      </c>
    </row>
    <row r="199">
      <c r="A199" s="8" t="n"/>
      <c r="B199" s="2">
        <f>IF($A199="","",IFERROR(INDEX(Listone!$B$2:$B$532,MATCH($A199,Listone!$A$2:$A$532,0)),"?"))</f>
        <v/>
      </c>
      <c r="C199" s="2">
        <f>IF($A199="","",IFERROR(INDEX(Listone!$C$2:$C$532,MATCH($A199,Listone!$A$2:$A$532,0)),""))</f>
        <v/>
      </c>
      <c r="D199" s="2">
        <f>IF($A199="","",IFERROR(INDEX(Listone!$D$2:$D$532,MATCH($A199,Listone!$A$2:$A$532,0)),""))</f>
        <v/>
      </c>
      <c r="E199" s="2">
        <f>IF($A199="","",IFERROR(INDEX(Listone!$G$2:$G$532,MATCH($A199,Listone!$A$2:$A$532,0)),""))</f>
        <v/>
      </c>
      <c r="F199" s="8" t="n"/>
      <c r="G199" s="8" t="n"/>
      <c r="H199" s="7">
        <f>IF(OR($A199="",$F199=""),"",$F199&amp;"|"&amp;$C199)</f>
        <v/>
      </c>
      <c r="I199" s="7">
        <f>IF($H199="","",COUNTIF($H$4:$H199,$H199))</f>
        <v/>
      </c>
      <c r="J199" s="7">
        <f>IF($H199="","",$H199&amp;"|"&amp;$I199)</f>
        <v/>
      </c>
    </row>
    <row r="200">
      <c r="A200" s="8" t="n"/>
      <c r="B200" s="2">
        <f>IF($A200="","",IFERROR(INDEX(Listone!$B$2:$B$532,MATCH($A200,Listone!$A$2:$A$532,0)),"?"))</f>
        <v/>
      </c>
      <c r="C200" s="2">
        <f>IF($A200="","",IFERROR(INDEX(Listone!$C$2:$C$532,MATCH($A200,Listone!$A$2:$A$532,0)),""))</f>
        <v/>
      </c>
      <c r="D200" s="2">
        <f>IF($A200="","",IFERROR(INDEX(Listone!$D$2:$D$532,MATCH($A200,Listone!$A$2:$A$532,0)),""))</f>
        <v/>
      </c>
      <c r="E200" s="2">
        <f>IF($A200="","",IFERROR(INDEX(Listone!$G$2:$G$532,MATCH($A200,Listone!$A$2:$A$532,0)),""))</f>
        <v/>
      </c>
      <c r="F200" s="8" t="n"/>
      <c r="G200" s="8" t="n"/>
      <c r="H200" s="7">
        <f>IF(OR($A200="",$F200=""),"",$F200&amp;"|"&amp;$C200)</f>
        <v/>
      </c>
      <c r="I200" s="7">
        <f>IF($H200="","",COUNTIF($H$4:$H200,$H200))</f>
        <v/>
      </c>
      <c r="J200" s="7">
        <f>IF($H200="","",$H200&amp;"|"&amp;$I200)</f>
        <v/>
      </c>
    </row>
    <row r="201">
      <c r="A201" s="8" t="n"/>
      <c r="B201" s="2">
        <f>IF($A201="","",IFERROR(INDEX(Listone!$B$2:$B$532,MATCH($A201,Listone!$A$2:$A$532,0)),"?"))</f>
        <v/>
      </c>
      <c r="C201" s="2">
        <f>IF($A201="","",IFERROR(INDEX(Listone!$C$2:$C$532,MATCH($A201,Listone!$A$2:$A$532,0)),""))</f>
        <v/>
      </c>
      <c r="D201" s="2">
        <f>IF($A201="","",IFERROR(INDEX(Listone!$D$2:$D$532,MATCH($A201,Listone!$A$2:$A$532,0)),""))</f>
        <v/>
      </c>
      <c r="E201" s="2">
        <f>IF($A201="","",IFERROR(INDEX(Listone!$G$2:$G$532,MATCH($A201,Listone!$A$2:$A$532,0)),""))</f>
        <v/>
      </c>
      <c r="F201" s="8" t="n"/>
      <c r="G201" s="8" t="n"/>
      <c r="H201" s="7">
        <f>IF(OR($A201="",$F201=""),"",$F201&amp;"|"&amp;$C201)</f>
        <v/>
      </c>
      <c r="I201" s="7">
        <f>IF($H201="","",COUNTIF($H$4:$H201,$H201))</f>
        <v/>
      </c>
      <c r="J201" s="7">
        <f>IF($H201="","",$H201&amp;"|"&amp;$I201)</f>
        <v/>
      </c>
    </row>
    <row r="202">
      <c r="A202" s="8" t="n"/>
      <c r="B202" s="2">
        <f>IF($A202="","",IFERROR(INDEX(Listone!$B$2:$B$532,MATCH($A202,Listone!$A$2:$A$532,0)),"?"))</f>
        <v/>
      </c>
      <c r="C202" s="2">
        <f>IF($A202="","",IFERROR(INDEX(Listone!$C$2:$C$532,MATCH($A202,Listone!$A$2:$A$532,0)),""))</f>
        <v/>
      </c>
      <c r="D202" s="2">
        <f>IF($A202="","",IFERROR(INDEX(Listone!$D$2:$D$532,MATCH($A202,Listone!$A$2:$A$532,0)),""))</f>
        <v/>
      </c>
      <c r="E202" s="2">
        <f>IF($A202="","",IFERROR(INDEX(Listone!$G$2:$G$532,MATCH($A202,Listone!$A$2:$A$532,0)),""))</f>
        <v/>
      </c>
      <c r="F202" s="8" t="n"/>
      <c r="G202" s="8" t="n"/>
      <c r="H202" s="7">
        <f>IF(OR($A202="",$F202=""),"",$F202&amp;"|"&amp;$C202)</f>
        <v/>
      </c>
      <c r="I202" s="7">
        <f>IF($H202="","",COUNTIF($H$4:$H202,$H202))</f>
        <v/>
      </c>
      <c r="J202" s="7">
        <f>IF($H202="","",$H202&amp;"|"&amp;$I202)</f>
        <v/>
      </c>
    </row>
    <row r="203">
      <c r="A203" s="8" t="n"/>
      <c r="B203" s="2">
        <f>IF($A203="","",IFERROR(INDEX(Listone!$B$2:$B$532,MATCH($A203,Listone!$A$2:$A$532,0)),"?"))</f>
        <v/>
      </c>
      <c r="C203" s="2">
        <f>IF($A203="","",IFERROR(INDEX(Listone!$C$2:$C$532,MATCH($A203,Listone!$A$2:$A$532,0)),""))</f>
        <v/>
      </c>
      <c r="D203" s="2">
        <f>IF($A203="","",IFERROR(INDEX(Listone!$D$2:$D$532,MATCH($A203,Listone!$A$2:$A$532,0)),""))</f>
        <v/>
      </c>
      <c r="E203" s="2">
        <f>IF($A203="","",IFERROR(INDEX(Listone!$G$2:$G$532,MATCH($A203,Listone!$A$2:$A$532,0)),""))</f>
        <v/>
      </c>
      <c r="F203" s="8" t="n"/>
      <c r="G203" s="8" t="n"/>
      <c r="H203" s="7">
        <f>IF(OR($A203="",$F203=""),"",$F203&amp;"|"&amp;$C203)</f>
        <v/>
      </c>
      <c r="I203" s="7">
        <f>IF($H203="","",COUNTIF($H$4:$H203,$H203))</f>
        <v/>
      </c>
      <c r="J203" s="7">
        <f>IF($H203="","",$H203&amp;"|"&amp;$I203)</f>
        <v/>
      </c>
    </row>
    <row r="204">
      <c r="A204" s="8" t="n"/>
      <c r="B204" s="2">
        <f>IF($A204="","",IFERROR(INDEX(Listone!$B$2:$B$532,MATCH($A204,Listone!$A$2:$A$532,0)),"?"))</f>
        <v/>
      </c>
      <c r="C204" s="2">
        <f>IF($A204="","",IFERROR(INDEX(Listone!$C$2:$C$532,MATCH($A204,Listone!$A$2:$A$532,0)),""))</f>
        <v/>
      </c>
      <c r="D204" s="2">
        <f>IF($A204="","",IFERROR(INDEX(Listone!$D$2:$D$532,MATCH($A204,Listone!$A$2:$A$532,0)),""))</f>
        <v/>
      </c>
      <c r="E204" s="2">
        <f>IF($A204="","",IFERROR(INDEX(Listone!$G$2:$G$532,MATCH($A204,Listone!$A$2:$A$532,0)),""))</f>
        <v/>
      </c>
      <c r="F204" s="8" t="n"/>
      <c r="G204" s="8" t="n"/>
      <c r="H204" s="7">
        <f>IF(OR($A204="",$F204=""),"",$F204&amp;"|"&amp;$C204)</f>
        <v/>
      </c>
      <c r="I204" s="7">
        <f>IF($H204="","",COUNTIF($H$4:$H204,$H204))</f>
        <v/>
      </c>
      <c r="J204" s="7">
        <f>IF($H204="","",$H204&amp;"|"&amp;$I204)</f>
        <v/>
      </c>
    </row>
    <row r="205">
      <c r="A205" s="8" t="n"/>
      <c r="B205" s="2">
        <f>IF($A205="","",IFERROR(INDEX(Listone!$B$2:$B$532,MATCH($A205,Listone!$A$2:$A$532,0)),"?"))</f>
        <v/>
      </c>
      <c r="C205" s="2">
        <f>IF($A205="","",IFERROR(INDEX(Listone!$C$2:$C$532,MATCH($A205,Listone!$A$2:$A$532,0)),""))</f>
        <v/>
      </c>
      <c r="D205" s="2">
        <f>IF($A205="","",IFERROR(INDEX(Listone!$D$2:$D$532,MATCH($A205,Listone!$A$2:$A$532,0)),""))</f>
        <v/>
      </c>
      <c r="E205" s="2">
        <f>IF($A205="","",IFERROR(INDEX(Listone!$G$2:$G$532,MATCH($A205,Listone!$A$2:$A$532,0)),""))</f>
        <v/>
      </c>
      <c r="F205" s="8" t="n"/>
      <c r="G205" s="8" t="n"/>
      <c r="H205" s="7">
        <f>IF(OR($A205="",$F205=""),"",$F205&amp;"|"&amp;$C205)</f>
        <v/>
      </c>
      <c r="I205" s="7">
        <f>IF($H205="","",COUNTIF($H$4:$H205,$H205))</f>
        <v/>
      </c>
      <c r="J205" s="7">
        <f>IF($H205="","",$H205&amp;"|"&amp;$I205)</f>
        <v/>
      </c>
    </row>
    <row r="206">
      <c r="A206" s="8" t="n"/>
      <c r="B206" s="2">
        <f>IF($A206="","",IFERROR(INDEX(Listone!$B$2:$B$532,MATCH($A206,Listone!$A$2:$A$532,0)),"?"))</f>
        <v/>
      </c>
      <c r="C206" s="2">
        <f>IF($A206="","",IFERROR(INDEX(Listone!$C$2:$C$532,MATCH($A206,Listone!$A$2:$A$532,0)),""))</f>
        <v/>
      </c>
      <c r="D206" s="2">
        <f>IF($A206="","",IFERROR(INDEX(Listone!$D$2:$D$532,MATCH($A206,Listone!$A$2:$A$532,0)),""))</f>
        <v/>
      </c>
      <c r="E206" s="2">
        <f>IF($A206="","",IFERROR(INDEX(Listone!$G$2:$G$532,MATCH($A206,Listone!$A$2:$A$532,0)),""))</f>
        <v/>
      </c>
      <c r="F206" s="8" t="n"/>
      <c r="G206" s="8" t="n"/>
      <c r="H206" s="7">
        <f>IF(OR($A206="",$F206=""),"",$F206&amp;"|"&amp;$C206)</f>
        <v/>
      </c>
      <c r="I206" s="7">
        <f>IF($H206="","",COUNTIF($H$4:$H206,$H206))</f>
        <v/>
      </c>
      <c r="J206" s="7">
        <f>IF($H206="","",$H206&amp;"|"&amp;$I206)</f>
        <v/>
      </c>
    </row>
    <row r="207">
      <c r="A207" s="8" t="n"/>
      <c r="B207" s="2">
        <f>IF($A207="","",IFERROR(INDEX(Listone!$B$2:$B$532,MATCH($A207,Listone!$A$2:$A$532,0)),"?"))</f>
        <v/>
      </c>
      <c r="C207" s="2">
        <f>IF($A207="","",IFERROR(INDEX(Listone!$C$2:$C$532,MATCH($A207,Listone!$A$2:$A$532,0)),""))</f>
        <v/>
      </c>
      <c r="D207" s="2">
        <f>IF($A207="","",IFERROR(INDEX(Listone!$D$2:$D$532,MATCH($A207,Listone!$A$2:$A$532,0)),""))</f>
        <v/>
      </c>
      <c r="E207" s="2">
        <f>IF($A207="","",IFERROR(INDEX(Listone!$G$2:$G$532,MATCH($A207,Listone!$A$2:$A$532,0)),""))</f>
        <v/>
      </c>
      <c r="F207" s="8" t="n"/>
      <c r="G207" s="8" t="n"/>
      <c r="H207" s="7">
        <f>IF(OR($A207="",$F207=""),"",$F207&amp;"|"&amp;$C207)</f>
        <v/>
      </c>
      <c r="I207" s="7">
        <f>IF($H207="","",COUNTIF($H$4:$H207,$H207))</f>
        <v/>
      </c>
      <c r="J207" s="7">
        <f>IF($H207="","",$H207&amp;"|"&amp;$I207)</f>
        <v/>
      </c>
    </row>
    <row r="208">
      <c r="A208" s="8" t="n"/>
      <c r="B208" s="2">
        <f>IF($A208="","",IFERROR(INDEX(Listone!$B$2:$B$532,MATCH($A208,Listone!$A$2:$A$532,0)),"?"))</f>
        <v/>
      </c>
      <c r="C208" s="2">
        <f>IF($A208="","",IFERROR(INDEX(Listone!$C$2:$C$532,MATCH($A208,Listone!$A$2:$A$532,0)),""))</f>
        <v/>
      </c>
      <c r="D208" s="2">
        <f>IF($A208="","",IFERROR(INDEX(Listone!$D$2:$D$532,MATCH($A208,Listone!$A$2:$A$532,0)),""))</f>
        <v/>
      </c>
      <c r="E208" s="2">
        <f>IF($A208="","",IFERROR(INDEX(Listone!$G$2:$G$532,MATCH($A208,Listone!$A$2:$A$532,0)),""))</f>
        <v/>
      </c>
      <c r="F208" s="8" t="n"/>
      <c r="G208" s="8" t="n"/>
      <c r="H208" s="7">
        <f>IF(OR($A208="",$F208=""),"",$F208&amp;"|"&amp;$C208)</f>
        <v/>
      </c>
      <c r="I208" s="7">
        <f>IF($H208="","",COUNTIF($H$4:$H208,$H208))</f>
        <v/>
      </c>
      <c r="J208" s="7">
        <f>IF($H208="","",$H208&amp;"|"&amp;$I208)</f>
        <v/>
      </c>
    </row>
    <row r="209">
      <c r="A209" s="8" t="n"/>
      <c r="B209" s="2">
        <f>IF($A209="","",IFERROR(INDEX(Listone!$B$2:$B$532,MATCH($A209,Listone!$A$2:$A$532,0)),"?"))</f>
        <v/>
      </c>
      <c r="C209" s="2">
        <f>IF($A209="","",IFERROR(INDEX(Listone!$C$2:$C$532,MATCH($A209,Listone!$A$2:$A$532,0)),""))</f>
        <v/>
      </c>
      <c r="D209" s="2">
        <f>IF($A209="","",IFERROR(INDEX(Listone!$D$2:$D$532,MATCH($A209,Listone!$A$2:$A$532,0)),""))</f>
        <v/>
      </c>
      <c r="E209" s="2">
        <f>IF($A209="","",IFERROR(INDEX(Listone!$G$2:$G$532,MATCH($A209,Listone!$A$2:$A$532,0)),""))</f>
        <v/>
      </c>
      <c r="F209" s="8" t="n"/>
      <c r="G209" s="8" t="n"/>
      <c r="H209" s="7">
        <f>IF(OR($A209="",$F209=""),"",$F209&amp;"|"&amp;$C209)</f>
        <v/>
      </c>
      <c r="I209" s="7">
        <f>IF($H209="","",COUNTIF($H$4:$H209,$H209))</f>
        <v/>
      </c>
      <c r="J209" s="7">
        <f>IF($H209="","",$H209&amp;"|"&amp;$I209)</f>
        <v/>
      </c>
    </row>
    <row r="210">
      <c r="A210" s="8" t="n"/>
      <c r="B210" s="2">
        <f>IF($A210="","",IFERROR(INDEX(Listone!$B$2:$B$532,MATCH($A210,Listone!$A$2:$A$532,0)),"?"))</f>
        <v/>
      </c>
      <c r="C210" s="2">
        <f>IF($A210="","",IFERROR(INDEX(Listone!$C$2:$C$532,MATCH($A210,Listone!$A$2:$A$532,0)),""))</f>
        <v/>
      </c>
      <c r="D210" s="2">
        <f>IF($A210="","",IFERROR(INDEX(Listone!$D$2:$D$532,MATCH($A210,Listone!$A$2:$A$532,0)),""))</f>
        <v/>
      </c>
      <c r="E210" s="2">
        <f>IF($A210="","",IFERROR(INDEX(Listone!$G$2:$G$532,MATCH($A210,Listone!$A$2:$A$532,0)),""))</f>
        <v/>
      </c>
      <c r="F210" s="8" t="n"/>
      <c r="G210" s="8" t="n"/>
      <c r="H210" s="7">
        <f>IF(OR($A210="",$F210=""),"",$F210&amp;"|"&amp;$C210)</f>
        <v/>
      </c>
      <c r="I210" s="7">
        <f>IF($H210="","",COUNTIF($H$4:$H210,$H210))</f>
        <v/>
      </c>
      <c r="J210" s="7">
        <f>IF($H210="","",$H210&amp;"|"&amp;$I210)</f>
        <v/>
      </c>
    </row>
    <row r="211">
      <c r="A211" s="8" t="n"/>
      <c r="B211" s="2">
        <f>IF($A211="","",IFERROR(INDEX(Listone!$B$2:$B$532,MATCH($A211,Listone!$A$2:$A$532,0)),"?"))</f>
        <v/>
      </c>
      <c r="C211" s="2">
        <f>IF($A211="","",IFERROR(INDEX(Listone!$C$2:$C$532,MATCH($A211,Listone!$A$2:$A$532,0)),""))</f>
        <v/>
      </c>
      <c r="D211" s="2">
        <f>IF($A211="","",IFERROR(INDEX(Listone!$D$2:$D$532,MATCH($A211,Listone!$A$2:$A$532,0)),""))</f>
        <v/>
      </c>
      <c r="E211" s="2">
        <f>IF($A211="","",IFERROR(INDEX(Listone!$G$2:$G$532,MATCH($A211,Listone!$A$2:$A$532,0)),""))</f>
        <v/>
      </c>
      <c r="F211" s="8" t="n"/>
      <c r="G211" s="8" t="n"/>
      <c r="H211" s="7">
        <f>IF(OR($A211="",$F211=""),"",$F211&amp;"|"&amp;$C211)</f>
        <v/>
      </c>
      <c r="I211" s="7">
        <f>IF($H211="","",COUNTIF($H$4:$H211,$H211))</f>
        <v/>
      </c>
      <c r="J211" s="7">
        <f>IF($H211="","",$H211&amp;"|"&amp;$I211)</f>
        <v/>
      </c>
    </row>
    <row r="212">
      <c r="A212" s="8" t="n"/>
      <c r="B212" s="2">
        <f>IF($A212="","",IFERROR(INDEX(Listone!$B$2:$B$532,MATCH($A212,Listone!$A$2:$A$532,0)),"?"))</f>
        <v/>
      </c>
      <c r="C212" s="2">
        <f>IF($A212="","",IFERROR(INDEX(Listone!$C$2:$C$532,MATCH($A212,Listone!$A$2:$A$532,0)),""))</f>
        <v/>
      </c>
      <c r="D212" s="2">
        <f>IF($A212="","",IFERROR(INDEX(Listone!$D$2:$D$532,MATCH($A212,Listone!$A$2:$A$532,0)),""))</f>
        <v/>
      </c>
      <c r="E212" s="2">
        <f>IF($A212="","",IFERROR(INDEX(Listone!$G$2:$G$532,MATCH($A212,Listone!$A$2:$A$532,0)),""))</f>
        <v/>
      </c>
      <c r="F212" s="8" t="n"/>
      <c r="G212" s="8" t="n"/>
      <c r="H212" s="7">
        <f>IF(OR($A212="",$F212=""),"",$F212&amp;"|"&amp;$C212)</f>
        <v/>
      </c>
      <c r="I212" s="7">
        <f>IF($H212="","",COUNTIF($H$4:$H212,$H212))</f>
        <v/>
      </c>
      <c r="J212" s="7">
        <f>IF($H212="","",$H212&amp;"|"&amp;$I212)</f>
        <v/>
      </c>
    </row>
    <row r="213">
      <c r="A213" s="8" t="n"/>
      <c r="B213" s="2">
        <f>IF($A213="","",IFERROR(INDEX(Listone!$B$2:$B$532,MATCH($A213,Listone!$A$2:$A$532,0)),"?"))</f>
        <v/>
      </c>
      <c r="C213" s="2">
        <f>IF($A213="","",IFERROR(INDEX(Listone!$C$2:$C$532,MATCH($A213,Listone!$A$2:$A$532,0)),""))</f>
        <v/>
      </c>
      <c r="D213" s="2">
        <f>IF($A213="","",IFERROR(INDEX(Listone!$D$2:$D$532,MATCH($A213,Listone!$A$2:$A$532,0)),""))</f>
        <v/>
      </c>
      <c r="E213" s="2">
        <f>IF($A213="","",IFERROR(INDEX(Listone!$G$2:$G$532,MATCH($A213,Listone!$A$2:$A$532,0)),""))</f>
        <v/>
      </c>
      <c r="F213" s="8" t="n"/>
      <c r="G213" s="8" t="n"/>
      <c r="H213" s="7">
        <f>IF(OR($A213="",$F213=""),"",$F213&amp;"|"&amp;$C213)</f>
        <v/>
      </c>
      <c r="I213" s="7">
        <f>IF($H213="","",COUNTIF($H$4:$H213,$H213))</f>
        <v/>
      </c>
      <c r="J213" s="7">
        <f>IF($H213="","",$H213&amp;"|"&amp;$I213)</f>
        <v/>
      </c>
    </row>
    <row r="214">
      <c r="A214" s="8" t="n"/>
      <c r="B214" s="2">
        <f>IF($A214="","",IFERROR(INDEX(Listone!$B$2:$B$532,MATCH($A214,Listone!$A$2:$A$532,0)),"?"))</f>
        <v/>
      </c>
      <c r="C214" s="2">
        <f>IF($A214="","",IFERROR(INDEX(Listone!$C$2:$C$532,MATCH($A214,Listone!$A$2:$A$532,0)),""))</f>
        <v/>
      </c>
      <c r="D214" s="2">
        <f>IF($A214="","",IFERROR(INDEX(Listone!$D$2:$D$532,MATCH($A214,Listone!$A$2:$A$532,0)),""))</f>
        <v/>
      </c>
      <c r="E214" s="2">
        <f>IF($A214="","",IFERROR(INDEX(Listone!$G$2:$G$532,MATCH($A214,Listone!$A$2:$A$532,0)),""))</f>
        <v/>
      </c>
      <c r="F214" s="8" t="n"/>
      <c r="G214" s="8" t="n"/>
      <c r="H214" s="7">
        <f>IF(OR($A214="",$F214=""),"",$F214&amp;"|"&amp;$C214)</f>
        <v/>
      </c>
      <c r="I214" s="7">
        <f>IF($H214="","",COUNTIF($H$4:$H214,$H214))</f>
        <v/>
      </c>
      <c r="J214" s="7">
        <f>IF($H214="","",$H214&amp;"|"&amp;$I214)</f>
        <v/>
      </c>
    </row>
    <row r="215">
      <c r="A215" s="8" t="n"/>
      <c r="B215" s="2">
        <f>IF($A215="","",IFERROR(INDEX(Listone!$B$2:$B$532,MATCH($A215,Listone!$A$2:$A$532,0)),"?"))</f>
        <v/>
      </c>
      <c r="C215" s="2">
        <f>IF($A215="","",IFERROR(INDEX(Listone!$C$2:$C$532,MATCH($A215,Listone!$A$2:$A$532,0)),""))</f>
        <v/>
      </c>
      <c r="D215" s="2">
        <f>IF($A215="","",IFERROR(INDEX(Listone!$D$2:$D$532,MATCH($A215,Listone!$A$2:$A$532,0)),""))</f>
        <v/>
      </c>
      <c r="E215" s="2">
        <f>IF($A215="","",IFERROR(INDEX(Listone!$G$2:$G$532,MATCH($A215,Listone!$A$2:$A$532,0)),""))</f>
        <v/>
      </c>
      <c r="F215" s="8" t="n"/>
      <c r="G215" s="8" t="n"/>
      <c r="H215" s="7">
        <f>IF(OR($A215="",$F215=""),"",$F215&amp;"|"&amp;$C215)</f>
        <v/>
      </c>
      <c r="I215" s="7">
        <f>IF($H215="","",COUNTIF($H$4:$H215,$H215))</f>
        <v/>
      </c>
      <c r="J215" s="7">
        <f>IF($H215="","",$H215&amp;"|"&amp;$I215)</f>
        <v/>
      </c>
    </row>
    <row r="216">
      <c r="A216" s="8" t="n"/>
      <c r="B216" s="2">
        <f>IF($A216="","",IFERROR(INDEX(Listone!$B$2:$B$532,MATCH($A216,Listone!$A$2:$A$532,0)),"?"))</f>
        <v/>
      </c>
      <c r="C216" s="2">
        <f>IF($A216="","",IFERROR(INDEX(Listone!$C$2:$C$532,MATCH($A216,Listone!$A$2:$A$532,0)),""))</f>
        <v/>
      </c>
      <c r="D216" s="2">
        <f>IF($A216="","",IFERROR(INDEX(Listone!$D$2:$D$532,MATCH($A216,Listone!$A$2:$A$532,0)),""))</f>
        <v/>
      </c>
      <c r="E216" s="2">
        <f>IF($A216="","",IFERROR(INDEX(Listone!$G$2:$G$532,MATCH($A216,Listone!$A$2:$A$532,0)),""))</f>
        <v/>
      </c>
      <c r="F216" s="8" t="n"/>
      <c r="G216" s="8" t="n"/>
      <c r="H216" s="7">
        <f>IF(OR($A216="",$F216=""),"",$F216&amp;"|"&amp;$C216)</f>
        <v/>
      </c>
      <c r="I216" s="7">
        <f>IF($H216="","",COUNTIF($H$4:$H216,$H216))</f>
        <v/>
      </c>
      <c r="J216" s="7">
        <f>IF($H216="","",$H216&amp;"|"&amp;$I216)</f>
        <v/>
      </c>
    </row>
    <row r="217">
      <c r="A217" s="8" t="n"/>
      <c r="B217" s="2">
        <f>IF($A217="","",IFERROR(INDEX(Listone!$B$2:$B$532,MATCH($A217,Listone!$A$2:$A$532,0)),"?"))</f>
        <v/>
      </c>
      <c r="C217" s="2">
        <f>IF($A217="","",IFERROR(INDEX(Listone!$C$2:$C$532,MATCH($A217,Listone!$A$2:$A$532,0)),""))</f>
        <v/>
      </c>
      <c r="D217" s="2">
        <f>IF($A217="","",IFERROR(INDEX(Listone!$D$2:$D$532,MATCH($A217,Listone!$A$2:$A$532,0)),""))</f>
        <v/>
      </c>
      <c r="E217" s="2">
        <f>IF($A217="","",IFERROR(INDEX(Listone!$G$2:$G$532,MATCH($A217,Listone!$A$2:$A$532,0)),""))</f>
        <v/>
      </c>
      <c r="F217" s="8" t="n"/>
      <c r="G217" s="8" t="n"/>
      <c r="H217" s="7">
        <f>IF(OR($A217="",$F217=""),"",$F217&amp;"|"&amp;$C217)</f>
        <v/>
      </c>
      <c r="I217" s="7">
        <f>IF($H217="","",COUNTIF($H$4:$H217,$H217))</f>
        <v/>
      </c>
      <c r="J217" s="7">
        <f>IF($H217="","",$H217&amp;"|"&amp;$I217)</f>
        <v/>
      </c>
    </row>
    <row r="218">
      <c r="A218" s="8" t="n"/>
      <c r="B218" s="2">
        <f>IF($A218="","",IFERROR(INDEX(Listone!$B$2:$B$532,MATCH($A218,Listone!$A$2:$A$532,0)),"?"))</f>
        <v/>
      </c>
      <c r="C218" s="2">
        <f>IF($A218="","",IFERROR(INDEX(Listone!$C$2:$C$532,MATCH($A218,Listone!$A$2:$A$532,0)),""))</f>
        <v/>
      </c>
      <c r="D218" s="2">
        <f>IF($A218="","",IFERROR(INDEX(Listone!$D$2:$D$532,MATCH($A218,Listone!$A$2:$A$532,0)),""))</f>
        <v/>
      </c>
      <c r="E218" s="2">
        <f>IF($A218="","",IFERROR(INDEX(Listone!$G$2:$G$532,MATCH($A218,Listone!$A$2:$A$532,0)),""))</f>
        <v/>
      </c>
      <c r="F218" s="8" t="n"/>
      <c r="G218" s="8" t="n"/>
      <c r="H218" s="7">
        <f>IF(OR($A218="",$F218=""),"",$F218&amp;"|"&amp;$C218)</f>
        <v/>
      </c>
      <c r="I218" s="7">
        <f>IF($H218="","",COUNTIF($H$4:$H218,$H218))</f>
        <v/>
      </c>
      <c r="J218" s="7">
        <f>IF($H218="","",$H218&amp;"|"&amp;$I218)</f>
        <v/>
      </c>
    </row>
    <row r="219">
      <c r="A219" s="8" t="n"/>
      <c r="B219" s="2">
        <f>IF($A219="","",IFERROR(INDEX(Listone!$B$2:$B$532,MATCH($A219,Listone!$A$2:$A$532,0)),"?"))</f>
        <v/>
      </c>
      <c r="C219" s="2">
        <f>IF($A219="","",IFERROR(INDEX(Listone!$C$2:$C$532,MATCH($A219,Listone!$A$2:$A$532,0)),""))</f>
        <v/>
      </c>
      <c r="D219" s="2">
        <f>IF($A219="","",IFERROR(INDEX(Listone!$D$2:$D$532,MATCH($A219,Listone!$A$2:$A$532,0)),""))</f>
        <v/>
      </c>
      <c r="E219" s="2">
        <f>IF($A219="","",IFERROR(INDEX(Listone!$G$2:$G$532,MATCH($A219,Listone!$A$2:$A$532,0)),""))</f>
        <v/>
      </c>
      <c r="F219" s="8" t="n"/>
      <c r="G219" s="8" t="n"/>
      <c r="H219" s="7">
        <f>IF(OR($A219="",$F219=""),"",$F219&amp;"|"&amp;$C219)</f>
        <v/>
      </c>
      <c r="I219" s="7">
        <f>IF($H219="","",COUNTIF($H$4:$H219,$H219))</f>
        <v/>
      </c>
      <c r="J219" s="7">
        <f>IF($H219="","",$H219&amp;"|"&amp;$I219)</f>
        <v/>
      </c>
    </row>
    <row r="220">
      <c r="A220" s="8" t="n"/>
      <c r="B220" s="2">
        <f>IF($A220="","",IFERROR(INDEX(Listone!$B$2:$B$532,MATCH($A220,Listone!$A$2:$A$532,0)),"?"))</f>
        <v/>
      </c>
      <c r="C220" s="2">
        <f>IF($A220="","",IFERROR(INDEX(Listone!$C$2:$C$532,MATCH($A220,Listone!$A$2:$A$532,0)),""))</f>
        <v/>
      </c>
      <c r="D220" s="2">
        <f>IF($A220="","",IFERROR(INDEX(Listone!$D$2:$D$532,MATCH($A220,Listone!$A$2:$A$532,0)),""))</f>
        <v/>
      </c>
      <c r="E220" s="2">
        <f>IF($A220="","",IFERROR(INDEX(Listone!$G$2:$G$532,MATCH($A220,Listone!$A$2:$A$532,0)),""))</f>
        <v/>
      </c>
      <c r="F220" s="8" t="n"/>
      <c r="G220" s="8" t="n"/>
      <c r="H220" s="7">
        <f>IF(OR($A220="",$F220=""),"",$F220&amp;"|"&amp;$C220)</f>
        <v/>
      </c>
      <c r="I220" s="7">
        <f>IF($H220="","",COUNTIF($H$4:$H220,$H220))</f>
        <v/>
      </c>
      <c r="J220" s="7">
        <f>IF($H220="","",$H220&amp;"|"&amp;$I220)</f>
        <v/>
      </c>
    </row>
    <row r="221">
      <c r="A221" s="8" t="n"/>
      <c r="B221" s="2">
        <f>IF($A221="","",IFERROR(INDEX(Listone!$B$2:$B$532,MATCH($A221,Listone!$A$2:$A$532,0)),"?"))</f>
        <v/>
      </c>
      <c r="C221" s="2">
        <f>IF($A221="","",IFERROR(INDEX(Listone!$C$2:$C$532,MATCH($A221,Listone!$A$2:$A$532,0)),""))</f>
        <v/>
      </c>
      <c r="D221" s="2">
        <f>IF($A221="","",IFERROR(INDEX(Listone!$D$2:$D$532,MATCH($A221,Listone!$A$2:$A$532,0)),""))</f>
        <v/>
      </c>
      <c r="E221" s="2">
        <f>IF($A221="","",IFERROR(INDEX(Listone!$G$2:$G$532,MATCH($A221,Listone!$A$2:$A$532,0)),""))</f>
        <v/>
      </c>
      <c r="F221" s="8" t="n"/>
      <c r="G221" s="8" t="n"/>
      <c r="H221" s="7">
        <f>IF(OR($A221="",$F221=""),"",$F221&amp;"|"&amp;$C221)</f>
        <v/>
      </c>
      <c r="I221" s="7">
        <f>IF($H221="","",COUNTIF($H$4:$H221,$H221))</f>
        <v/>
      </c>
      <c r="J221" s="7">
        <f>IF($H221="","",$H221&amp;"|"&amp;$I221)</f>
        <v/>
      </c>
    </row>
    <row r="222">
      <c r="A222" s="8" t="n"/>
      <c r="B222" s="2">
        <f>IF($A222="","",IFERROR(INDEX(Listone!$B$2:$B$532,MATCH($A222,Listone!$A$2:$A$532,0)),"?"))</f>
        <v/>
      </c>
      <c r="C222" s="2">
        <f>IF($A222="","",IFERROR(INDEX(Listone!$C$2:$C$532,MATCH($A222,Listone!$A$2:$A$532,0)),""))</f>
        <v/>
      </c>
      <c r="D222" s="2">
        <f>IF($A222="","",IFERROR(INDEX(Listone!$D$2:$D$532,MATCH($A222,Listone!$A$2:$A$532,0)),""))</f>
        <v/>
      </c>
      <c r="E222" s="2">
        <f>IF($A222="","",IFERROR(INDEX(Listone!$G$2:$G$532,MATCH($A222,Listone!$A$2:$A$532,0)),""))</f>
        <v/>
      </c>
      <c r="F222" s="8" t="n"/>
      <c r="G222" s="8" t="n"/>
      <c r="H222" s="7">
        <f>IF(OR($A222="",$F222=""),"",$F222&amp;"|"&amp;$C222)</f>
        <v/>
      </c>
      <c r="I222" s="7">
        <f>IF($H222="","",COUNTIF($H$4:$H222,$H222))</f>
        <v/>
      </c>
      <c r="J222" s="7">
        <f>IF($H222="","",$H222&amp;"|"&amp;$I222)</f>
        <v/>
      </c>
    </row>
    <row r="223">
      <c r="A223" s="8" t="n"/>
      <c r="B223" s="2">
        <f>IF($A223="","",IFERROR(INDEX(Listone!$B$2:$B$532,MATCH($A223,Listone!$A$2:$A$532,0)),"?"))</f>
        <v/>
      </c>
      <c r="C223" s="2">
        <f>IF($A223="","",IFERROR(INDEX(Listone!$C$2:$C$532,MATCH($A223,Listone!$A$2:$A$532,0)),""))</f>
        <v/>
      </c>
      <c r="D223" s="2">
        <f>IF($A223="","",IFERROR(INDEX(Listone!$D$2:$D$532,MATCH($A223,Listone!$A$2:$A$532,0)),""))</f>
        <v/>
      </c>
      <c r="E223" s="2">
        <f>IF($A223="","",IFERROR(INDEX(Listone!$G$2:$G$532,MATCH($A223,Listone!$A$2:$A$532,0)),""))</f>
        <v/>
      </c>
      <c r="F223" s="8" t="n"/>
      <c r="G223" s="8" t="n"/>
      <c r="H223" s="7">
        <f>IF(OR($A223="",$F223=""),"",$F223&amp;"|"&amp;$C223)</f>
        <v/>
      </c>
      <c r="I223" s="7">
        <f>IF($H223="","",COUNTIF($H$4:$H223,$H223))</f>
        <v/>
      </c>
      <c r="J223" s="7">
        <f>IF($H223="","",$H223&amp;"|"&amp;$I223)</f>
        <v/>
      </c>
    </row>
    <row r="224">
      <c r="A224" s="8" t="n"/>
      <c r="B224" s="2">
        <f>IF($A224="","",IFERROR(INDEX(Listone!$B$2:$B$532,MATCH($A224,Listone!$A$2:$A$532,0)),"?"))</f>
        <v/>
      </c>
      <c r="C224" s="2">
        <f>IF($A224="","",IFERROR(INDEX(Listone!$C$2:$C$532,MATCH($A224,Listone!$A$2:$A$532,0)),""))</f>
        <v/>
      </c>
      <c r="D224" s="2">
        <f>IF($A224="","",IFERROR(INDEX(Listone!$D$2:$D$532,MATCH($A224,Listone!$A$2:$A$532,0)),""))</f>
        <v/>
      </c>
      <c r="E224" s="2">
        <f>IF($A224="","",IFERROR(INDEX(Listone!$G$2:$G$532,MATCH($A224,Listone!$A$2:$A$532,0)),""))</f>
        <v/>
      </c>
      <c r="F224" s="8" t="n"/>
      <c r="G224" s="8" t="n"/>
      <c r="H224" s="7">
        <f>IF(OR($A224="",$F224=""),"",$F224&amp;"|"&amp;$C224)</f>
        <v/>
      </c>
      <c r="I224" s="7">
        <f>IF($H224="","",COUNTIF($H$4:$H224,$H224))</f>
        <v/>
      </c>
      <c r="J224" s="7">
        <f>IF($H224="","",$H224&amp;"|"&amp;$I224)</f>
        <v/>
      </c>
    </row>
    <row r="225">
      <c r="A225" s="8" t="n"/>
      <c r="B225" s="2">
        <f>IF($A225="","",IFERROR(INDEX(Listone!$B$2:$B$532,MATCH($A225,Listone!$A$2:$A$532,0)),"?"))</f>
        <v/>
      </c>
      <c r="C225" s="2">
        <f>IF($A225="","",IFERROR(INDEX(Listone!$C$2:$C$532,MATCH($A225,Listone!$A$2:$A$532,0)),""))</f>
        <v/>
      </c>
      <c r="D225" s="2">
        <f>IF($A225="","",IFERROR(INDEX(Listone!$D$2:$D$532,MATCH($A225,Listone!$A$2:$A$532,0)),""))</f>
        <v/>
      </c>
      <c r="E225" s="2">
        <f>IF($A225="","",IFERROR(INDEX(Listone!$G$2:$G$532,MATCH($A225,Listone!$A$2:$A$532,0)),""))</f>
        <v/>
      </c>
      <c r="F225" s="8" t="n"/>
      <c r="G225" s="8" t="n"/>
      <c r="H225" s="7">
        <f>IF(OR($A225="",$F225=""),"",$F225&amp;"|"&amp;$C225)</f>
        <v/>
      </c>
      <c r="I225" s="7">
        <f>IF($H225="","",COUNTIF($H$4:$H225,$H225))</f>
        <v/>
      </c>
      <c r="J225" s="7">
        <f>IF($H225="","",$H225&amp;"|"&amp;$I225)</f>
        <v/>
      </c>
    </row>
    <row r="226">
      <c r="A226" s="8" t="n"/>
      <c r="B226" s="2">
        <f>IF($A226="","",IFERROR(INDEX(Listone!$B$2:$B$532,MATCH($A226,Listone!$A$2:$A$532,0)),"?"))</f>
        <v/>
      </c>
      <c r="C226" s="2">
        <f>IF($A226="","",IFERROR(INDEX(Listone!$C$2:$C$532,MATCH($A226,Listone!$A$2:$A$532,0)),""))</f>
        <v/>
      </c>
      <c r="D226" s="2">
        <f>IF($A226="","",IFERROR(INDEX(Listone!$D$2:$D$532,MATCH($A226,Listone!$A$2:$A$532,0)),""))</f>
        <v/>
      </c>
      <c r="E226" s="2">
        <f>IF($A226="","",IFERROR(INDEX(Listone!$G$2:$G$532,MATCH($A226,Listone!$A$2:$A$532,0)),""))</f>
        <v/>
      </c>
      <c r="F226" s="8" t="n"/>
      <c r="G226" s="8" t="n"/>
      <c r="H226" s="7">
        <f>IF(OR($A226="",$F226=""),"",$F226&amp;"|"&amp;$C226)</f>
        <v/>
      </c>
      <c r="I226" s="7">
        <f>IF($H226="","",COUNTIF($H$4:$H226,$H226))</f>
        <v/>
      </c>
      <c r="J226" s="7">
        <f>IF($H226="","",$H226&amp;"|"&amp;$I226)</f>
        <v/>
      </c>
    </row>
    <row r="227">
      <c r="A227" s="8" t="n"/>
      <c r="B227" s="2">
        <f>IF($A227="","",IFERROR(INDEX(Listone!$B$2:$B$532,MATCH($A227,Listone!$A$2:$A$532,0)),"?"))</f>
        <v/>
      </c>
      <c r="C227" s="2">
        <f>IF($A227="","",IFERROR(INDEX(Listone!$C$2:$C$532,MATCH($A227,Listone!$A$2:$A$532,0)),""))</f>
        <v/>
      </c>
      <c r="D227" s="2">
        <f>IF($A227="","",IFERROR(INDEX(Listone!$D$2:$D$532,MATCH($A227,Listone!$A$2:$A$532,0)),""))</f>
        <v/>
      </c>
      <c r="E227" s="2">
        <f>IF($A227="","",IFERROR(INDEX(Listone!$G$2:$G$532,MATCH($A227,Listone!$A$2:$A$532,0)),""))</f>
        <v/>
      </c>
      <c r="F227" s="8" t="n"/>
      <c r="G227" s="8" t="n"/>
      <c r="H227" s="7">
        <f>IF(OR($A227="",$F227=""),"",$F227&amp;"|"&amp;$C227)</f>
        <v/>
      </c>
      <c r="I227" s="7">
        <f>IF($H227="","",COUNTIF($H$4:$H227,$H227))</f>
        <v/>
      </c>
      <c r="J227" s="7">
        <f>IF($H227="","",$H227&amp;"|"&amp;$I227)</f>
        <v/>
      </c>
    </row>
    <row r="228">
      <c r="A228" s="8" t="n"/>
      <c r="B228" s="2">
        <f>IF($A228="","",IFERROR(INDEX(Listone!$B$2:$B$532,MATCH($A228,Listone!$A$2:$A$532,0)),"?"))</f>
        <v/>
      </c>
      <c r="C228" s="2">
        <f>IF($A228="","",IFERROR(INDEX(Listone!$C$2:$C$532,MATCH($A228,Listone!$A$2:$A$532,0)),""))</f>
        <v/>
      </c>
      <c r="D228" s="2">
        <f>IF($A228="","",IFERROR(INDEX(Listone!$D$2:$D$532,MATCH($A228,Listone!$A$2:$A$532,0)),""))</f>
        <v/>
      </c>
      <c r="E228" s="2">
        <f>IF($A228="","",IFERROR(INDEX(Listone!$G$2:$G$532,MATCH($A228,Listone!$A$2:$A$532,0)),""))</f>
        <v/>
      </c>
      <c r="F228" s="8" t="n"/>
      <c r="G228" s="8" t="n"/>
      <c r="H228" s="7">
        <f>IF(OR($A228="",$F228=""),"",$F228&amp;"|"&amp;$C228)</f>
        <v/>
      </c>
      <c r="I228" s="7">
        <f>IF($H228="","",COUNTIF($H$4:$H228,$H228))</f>
        <v/>
      </c>
      <c r="J228" s="7">
        <f>IF($H228="","",$H228&amp;"|"&amp;$I228)</f>
        <v/>
      </c>
    </row>
    <row r="229">
      <c r="A229" s="8" t="n"/>
      <c r="B229" s="2">
        <f>IF($A229="","",IFERROR(INDEX(Listone!$B$2:$B$532,MATCH($A229,Listone!$A$2:$A$532,0)),"?"))</f>
        <v/>
      </c>
      <c r="C229" s="2">
        <f>IF($A229="","",IFERROR(INDEX(Listone!$C$2:$C$532,MATCH($A229,Listone!$A$2:$A$532,0)),""))</f>
        <v/>
      </c>
      <c r="D229" s="2">
        <f>IF($A229="","",IFERROR(INDEX(Listone!$D$2:$D$532,MATCH($A229,Listone!$A$2:$A$532,0)),""))</f>
        <v/>
      </c>
      <c r="E229" s="2">
        <f>IF($A229="","",IFERROR(INDEX(Listone!$G$2:$G$532,MATCH($A229,Listone!$A$2:$A$532,0)),""))</f>
        <v/>
      </c>
      <c r="F229" s="8" t="n"/>
      <c r="G229" s="8" t="n"/>
      <c r="H229" s="7">
        <f>IF(OR($A229="",$F229=""),"",$F229&amp;"|"&amp;$C229)</f>
        <v/>
      </c>
      <c r="I229" s="7">
        <f>IF($H229="","",COUNTIF($H$4:$H229,$H229))</f>
        <v/>
      </c>
      <c r="J229" s="7">
        <f>IF($H229="","",$H229&amp;"|"&amp;$I229)</f>
        <v/>
      </c>
    </row>
    <row r="230">
      <c r="A230" s="8" t="n"/>
      <c r="B230" s="2">
        <f>IF($A230="","",IFERROR(INDEX(Listone!$B$2:$B$532,MATCH($A230,Listone!$A$2:$A$532,0)),"?"))</f>
        <v/>
      </c>
      <c r="C230" s="2">
        <f>IF($A230="","",IFERROR(INDEX(Listone!$C$2:$C$532,MATCH($A230,Listone!$A$2:$A$532,0)),""))</f>
        <v/>
      </c>
      <c r="D230" s="2">
        <f>IF($A230="","",IFERROR(INDEX(Listone!$D$2:$D$532,MATCH($A230,Listone!$A$2:$A$532,0)),""))</f>
        <v/>
      </c>
      <c r="E230" s="2">
        <f>IF($A230="","",IFERROR(INDEX(Listone!$G$2:$G$532,MATCH($A230,Listone!$A$2:$A$532,0)),""))</f>
        <v/>
      </c>
      <c r="F230" s="8" t="n"/>
      <c r="G230" s="8" t="n"/>
      <c r="H230" s="7">
        <f>IF(OR($A230="",$F230=""),"",$F230&amp;"|"&amp;$C230)</f>
        <v/>
      </c>
      <c r="I230" s="7">
        <f>IF($H230="","",COUNTIF($H$4:$H230,$H230))</f>
        <v/>
      </c>
      <c r="J230" s="7">
        <f>IF($H230="","",$H230&amp;"|"&amp;$I230)</f>
        <v/>
      </c>
    </row>
    <row r="231">
      <c r="A231" s="8" t="n"/>
      <c r="B231" s="2">
        <f>IF($A231="","",IFERROR(INDEX(Listone!$B$2:$B$532,MATCH($A231,Listone!$A$2:$A$532,0)),"?"))</f>
        <v/>
      </c>
      <c r="C231" s="2">
        <f>IF($A231="","",IFERROR(INDEX(Listone!$C$2:$C$532,MATCH($A231,Listone!$A$2:$A$532,0)),""))</f>
        <v/>
      </c>
      <c r="D231" s="2">
        <f>IF($A231="","",IFERROR(INDEX(Listone!$D$2:$D$532,MATCH($A231,Listone!$A$2:$A$532,0)),""))</f>
        <v/>
      </c>
      <c r="E231" s="2">
        <f>IF($A231="","",IFERROR(INDEX(Listone!$G$2:$G$532,MATCH($A231,Listone!$A$2:$A$532,0)),""))</f>
        <v/>
      </c>
      <c r="F231" s="8" t="n"/>
      <c r="G231" s="8" t="n"/>
      <c r="H231" s="7">
        <f>IF(OR($A231="",$F231=""),"",$F231&amp;"|"&amp;$C231)</f>
        <v/>
      </c>
      <c r="I231" s="7">
        <f>IF($H231="","",COUNTIF($H$4:$H231,$H231))</f>
        <v/>
      </c>
      <c r="J231" s="7">
        <f>IF($H231="","",$H231&amp;"|"&amp;$I231)</f>
        <v/>
      </c>
    </row>
    <row r="232">
      <c r="A232" s="8" t="n"/>
      <c r="B232" s="2">
        <f>IF($A232="","",IFERROR(INDEX(Listone!$B$2:$B$532,MATCH($A232,Listone!$A$2:$A$532,0)),"?"))</f>
        <v/>
      </c>
      <c r="C232" s="2">
        <f>IF($A232="","",IFERROR(INDEX(Listone!$C$2:$C$532,MATCH($A232,Listone!$A$2:$A$532,0)),""))</f>
        <v/>
      </c>
      <c r="D232" s="2">
        <f>IF($A232="","",IFERROR(INDEX(Listone!$D$2:$D$532,MATCH($A232,Listone!$A$2:$A$532,0)),""))</f>
        <v/>
      </c>
      <c r="E232" s="2">
        <f>IF($A232="","",IFERROR(INDEX(Listone!$G$2:$G$532,MATCH($A232,Listone!$A$2:$A$532,0)),""))</f>
        <v/>
      </c>
      <c r="F232" s="8" t="n"/>
      <c r="G232" s="8" t="n"/>
      <c r="H232" s="7">
        <f>IF(OR($A232="",$F232=""),"",$F232&amp;"|"&amp;$C232)</f>
        <v/>
      </c>
      <c r="I232" s="7">
        <f>IF($H232="","",COUNTIF($H$4:$H232,$H232))</f>
        <v/>
      </c>
      <c r="J232" s="7">
        <f>IF($H232="","",$H232&amp;"|"&amp;$I232)</f>
        <v/>
      </c>
    </row>
    <row r="233">
      <c r="A233" s="8" t="n"/>
      <c r="B233" s="2">
        <f>IF($A233="","",IFERROR(INDEX(Listone!$B$2:$B$532,MATCH($A233,Listone!$A$2:$A$532,0)),"?"))</f>
        <v/>
      </c>
      <c r="C233" s="2">
        <f>IF($A233="","",IFERROR(INDEX(Listone!$C$2:$C$532,MATCH($A233,Listone!$A$2:$A$532,0)),""))</f>
        <v/>
      </c>
      <c r="D233" s="2">
        <f>IF($A233="","",IFERROR(INDEX(Listone!$D$2:$D$532,MATCH($A233,Listone!$A$2:$A$532,0)),""))</f>
        <v/>
      </c>
      <c r="E233" s="2">
        <f>IF($A233="","",IFERROR(INDEX(Listone!$G$2:$G$532,MATCH($A233,Listone!$A$2:$A$532,0)),""))</f>
        <v/>
      </c>
      <c r="F233" s="8" t="n"/>
      <c r="G233" s="8" t="n"/>
      <c r="H233" s="7">
        <f>IF(OR($A233="",$F233=""),"",$F233&amp;"|"&amp;$C233)</f>
        <v/>
      </c>
      <c r="I233" s="7">
        <f>IF($H233="","",COUNTIF($H$4:$H233,$H233))</f>
        <v/>
      </c>
      <c r="J233" s="7">
        <f>IF($H233="","",$H233&amp;"|"&amp;$I233)</f>
        <v/>
      </c>
    </row>
    <row r="234">
      <c r="A234" s="8" t="n"/>
      <c r="B234" s="2">
        <f>IF($A234="","",IFERROR(INDEX(Listone!$B$2:$B$532,MATCH($A234,Listone!$A$2:$A$532,0)),"?"))</f>
        <v/>
      </c>
      <c r="C234" s="2">
        <f>IF($A234="","",IFERROR(INDEX(Listone!$C$2:$C$532,MATCH($A234,Listone!$A$2:$A$532,0)),""))</f>
        <v/>
      </c>
      <c r="D234" s="2">
        <f>IF($A234="","",IFERROR(INDEX(Listone!$D$2:$D$532,MATCH($A234,Listone!$A$2:$A$532,0)),""))</f>
        <v/>
      </c>
      <c r="E234" s="2">
        <f>IF($A234="","",IFERROR(INDEX(Listone!$G$2:$G$532,MATCH($A234,Listone!$A$2:$A$532,0)),""))</f>
        <v/>
      </c>
      <c r="F234" s="8" t="n"/>
      <c r="G234" s="8" t="n"/>
      <c r="H234" s="7">
        <f>IF(OR($A234="",$F234=""),"",$F234&amp;"|"&amp;$C234)</f>
        <v/>
      </c>
      <c r="I234" s="7">
        <f>IF($H234="","",COUNTIF($H$4:$H234,$H234))</f>
        <v/>
      </c>
      <c r="J234" s="7">
        <f>IF($H234="","",$H234&amp;"|"&amp;$I234)</f>
        <v/>
      </c>
    </row>
    <row r="235">
      <c r="A235" s="8" t="n"/>
      <c r="B235" s="2">
        <f>IF($A235="","",IFERROR(INDEX(Listone!$B$2:$B$532,MATCH($A235,Listone!$A$2:$A$532,0)),"?"))</f>
        <v/>
      </c>
      <c r="C235" s="2">
        <f>IF($A235="","",IFERROR(INDEX(Listone!$C$2:$C$532,MATCH($A235,Listone!$A$2:$A$532,0)),""))</f>
        <v/>
      </c>
      <c r="D235" s="2">
        <f>IF($A235="","",IFERROR(INDEX(Listone!$D$2:$D$532,MATCH($A235,Listone!$A$2:$A$532,0)),""))</f>
        <v/>
      </c>
      <c r="E235" s="2">
        <f>IF($A235="","",IFERROR(INDEX(Listone!$G$2:$G$532,MATCH($A235,Listone!$A$2:$A$532,0)),""))</f>
        <v/>
      </c>
      <c r="F235" s="8" t="n"/>
      <c r="G235" s="8" t="n"/>
      <c r="H235" s="7">
        <f>IF(OR($A235="",$F235=""),"",$F235&amp;"|"&amp;$C235)</f>
        <v/>
      </c>
      <c r="I235" s="7">
        <f>IF($H235="","",COUNTIF($H$4:$H235,$H235))</f>
        <v/>
      </c>
      <c r="J235" s="7">
        <f>IF($H235="","",$H235&amp;"|"&amp;$I235)</f>
        <v/>
      </c>
    </row>
    <row r="236">
      <c r="A236" s="8" t="n"/>
      <c r="B236" s="2">
        <f>IF($A236="","",IFERROR(INDEX(Listone!$B$2:$B$532,MATCH($A236,Listone!$A$2:$A$532,0)),"?"))</f>
        <v/>
      </c>
      <c r="C236" s="2">
        <f>IF($A236="","",IFERROR(INDEX(Listone!$C$2:$C$532,MATCH($A236,Listone!$A$2:$A$532,0)),""))</f>
        <v/>
      </c>
      <c r="D236" s="2">
        <f>IF($A236="","",IFERROR(INDEX(Listone!$D$2:$D$532,MATCH($A236,Listone!$A$2:$A$532,0)),""))</f>
        <v/>
      </c>
      <c r="E236" s="2">
        <f>IF($A236="","",IFERROR(INDEX(Listone!$G$2:$G$532,MATCH($A236,Listone!$A$2:$A$532,0)),""))</f>
        <v/>
      </c>
      <c r="F236" s="8" t="n"/>
      <c r="G236" s="8" t="n"/>
      <c r="H236" s="7">
        <f>IF(OR($A236="",$F236=""),"",$F236&amp;"|"&amp;$C236)</f>
        <v/>
      </c>
      <c r="I236" s="7">
        <f>IF($H236="","",COUNTIF($H$4:$H236,$H236))</f>
        <v/>
      </c>
      <c r="J236" s="7">
        <f>IF($H236="","",$H236&amp;"|"&amp;$I236)</f>
        <v/>
      </c>
    </row>
    <row r="237">
      <c r="A237" s="8" t="n"/>
      <c r="B237" s="2">
        <f>IF($A237="","",IFERROR(INDEX(Listone!$B$2:$B$532,MATCH($A237,Listone!$A$2:$A$532,0)),"?"))</f>
        <v/>
      </c>
      <c r="C237" s="2">
        <f>IF($A237="","",IFERROR(INDEX(Listone!$C$2:$C$532,MATCH($A237,Listone!$A$2:$A$532,0)),""))</f>
        <v/>
      </c>
      <c r="D237" s="2">
        <f>IF($A237="","",IFERROR(INDEX(Listone!$D$2:$D$532,MATCH($A237,Listone!$A$2:$A$532,0)),""))</f>
        <v/>
      </c>
      <c r="E237" s="2">
        <f>IF($A237="","",IFERROR(INDEX(Listone!$G$2:$G$532,MATCH($A237,Listone!$A$2:$A$532,0)),""))</f>
        <v/>
      </c>
      <c r="F237" s="8" t="n"/>
      <c r="G237" s="8" t="n"/>
      <c r="H237" s="7">
        <f>IF(OR($A237="",$F237=""),"",$F237&amp;"|"&amp;$C237)</f>
        <v/>
      </c>
      <c r="I237" s="7">
        <f>IF($H237="","",COUNTIF($H$4:$H237,$H237))</f>
        <v/>
      </c>
      <c r="J237" s="7">
        <f>IF($H237="","",$H237&amp;"|"&amp;$I237)</f>
        <v/>
      </c>
    </row>
    <row r="238">
      <c r="A238" s="8" t="n"/>
      <c r="B238" s="2">
        <f>IF($A238="","",IFERROR(INDEX(Listone!$B$2:$B$532,MATCH($A238,Listone!$A$2:$A$532,0)),"?"))</f>
        <v/>
      </c>
      <c r="C238" s="2">
        <f>IF($A238="","",IFERROR(INDEX(Listone!$C$2:$C$532,MATCH($A238,Listone!$A$2:$A$532,0)),""))</f>
        <v/>
      </c>
      <c r="D238" s="2">
        <f>IF($A238="","",IFERROR(INDEX(Listone!$D$2:$D$532,MATCH($A238,Listone!$A$2:$A$532,0)),""))</f>
        <v/>
      </c>
      <c r="E238" s="2">
        <f>IF($A238="","",IFERROR(INDEX(Listone!$G$2:$G$532,MATCH($A238,Listone!$A$2:$A$532,0)),""))</f>
        <v/>
      </c>
      <c r="F238" s="8" t="n"/>
      <c r="G238" s="8" t="n"/>
      <c r="H238" s="7">
        <f>IF(OR($A238="",$F238=""),"",$F238&amp;"|"&amp;$C238)</f>
        <v/>
      </c>
      <c r="I238" s="7">
        <f>IF($H238="","",COUNTIF($H$4:$H238,$H238))</f>
        <v/>
      </c>
      <c r="J238" s="7">
        <f>IF($H238="","",$H238&amp;"|"&amp;$I238)</f>
        <v/>
      </c>
    </row>
    <row r="239">
      <c r="A239" s="8" t="n"/>
      <c r="B239" s="2">
        <f>IF($A239="","",IFERROR(INDEX(Listone!$B$2:$B$532,MATCH($A239,Listone!$A$2:$A$532,0)),"?"))</f>
        <v/>
      </c>
      <c r="C239" s="2">
        <f>IF($A239="","",IFERROR(INDEX(Listone!$C$2:$C$532,MATCH($A239,Listone!$A$2:$A$532,0)),""))</f>
        <v/>
      </c>
      <c r="D239" s="2">
        <f>IF($A239="","",IFERROR(INDEX(Listone!$D$2:$D$532,MATCH($A239,Listone!$A$2:$A$532,0)),""))</f>
        <v/>
      </c>
      <c r="E239" s="2">
        <f>IF($A239="","",IFERROR(INDEX(Listone!$G$2:$G$532,MATCH($A239,Listone!$A$2:$A$532,0)),""))</f>
        <v/>
      </c>
      <c r="F239" s="8" t="n"/>
      <c r="G239" s="8" t="n"/>
      <c r="H239" s="7">
        <f>IF(OR($A239="",$F239=""),"",$F239&amp;"|"&amp;$C239)</f>
        <v/>
      </c>
      <c r="I239" s="7">
        <f>IF($H239="","",COUNTIF($H$4:$H239,$H239))</f>
        <v/>
      </c>
      <c r="J239" s="7">
        <f>IF($H239="","",$H239&amp;"|"&amp;$I239)</f>
        <v/>
      </c>
    </row>
    <row r="240">
      <c r="A240" s="8" t="n"/>
      <c r="B240" s="2">
        <f>IF($A240="","",IFERROR(INDEX(Listone!$B$2:$B$532,MATCH($A240,Listone!$A$2:$A$532,0)),"?"))</f>
        <v/>
      </c>
      <c r="C240" s="2">
        <f>IF($A240="","",IFERROR(INDEX(Listone!$C$2:$C$532,MATCH($A240,Listone!$A$2:$A$532,0)),""))</f>
        <v/>
      </c>
      <c r="D240" s="2">
        <f>IF($A240="","",IFERROR(INDEX(Listone!$D$2:$D$532,MATCH($A240,Listone!$A$2:$A$532,0)),""))</f>
        <v/>
      </c>
      <c r="E240" s="2">
        <f>IF($A240="","",IFERROR(INDEX(Listone!$G$2:$G$532,MATCH($A240,Listone!$A$2:$A$532,0)),""))</f>
        <v/>
      </c>
      <c r="F240" s="8" t="n"/>
      <c r="G240" s="8" t="n"/>
      <c r="H240" s="7">
        <f>IF(OR($A240="",$F240=""),"",$F240&amp;"|"&amp;$C240)</f>
        <v/>
      </c>
      <c r="I240" s="7">
        <f>IF($H240="","",COUNTIF($H$4:$H240,$H240))</f>
        <v/>
      </c>
      <c r="J240" s="7">
        <f>IF($H240="","",$H240&amp;"|"&amp;$I240)</f>
        <v/>
      </c>
    </row>
    <row r="241">
      <c r="A241" s="8" t="n"/>
      <c r="B241" s="2">
        <f>IF($A241="","",IFERROR(INDEX(Listone!$B$2:$B$532,MATCH($A241,Listone!$A$2:$A$532,0)),"?"))</f>
        <v/>
      </c>
      <c r="C241" s="2">
        <f>IF($A241="","",IFERROR(INDEX(Listone!$C$2:$C$532,MATCH($A241,Listone!$A$2:$A$532,0)),""))</f>
        <v/>
      </c>
      <c r="D241" s="2">
        <f>IF($A241="","",IFERROR(INDEX(Listone!$D$2:$D$532,MATCH($A241,Listone!$A$2:$A$532,0)),""))</f>
        <v/>
      </c>
      <c r="E241" s="2">
        <f>IF($A241="","",IFERROR(INDEX(Listone!$G$2:$G$532,MATCH($A241,Listone!$A$2:$A$532,0)),""))</f>
        <v/>
      </c>
      <c r="F241" s="8" t="n"/>
      <c r="G241" s="8" t="n"/>
      <c r="H241" s="7">
        <f>IF(OR($A241="",$F241=""),"",$F241&amp;"|"&amp;$C241)</f>
        <v/>
      </c>
      <c r="I241" s="7">
        <f>IF($H241="","",COUNTIF($H$4:$H241,$H241))</f>
        <v/>
      </c>
      <c r="J241" s="7">
        <f>IF($H241="","",$H241&amp;"|"&amp;$I241)</f>
        <v/>
      </c>
    </row>
    <row r="242">
      <c r="A242" s="8" t="n"/>
      <c r="B242" s="2">
        <f>IF($A242="","",IFERROR(INDEX(Listone!$B$2:$B$532,MATCH($A242,Listone!$A$2:$A$532,0)),"?"))</f>
        <v/>
      </c>
      <c r="C242" s="2">
        <f>IF($A242="","",IFERROR(INDEX(Listone!$C$2:$C$532,MATCH($A242,Listone!$A$2:$A$532,0)),""))</f>
        <v/>
      </c>
      <c r="D242" s="2">
        <f>IF($A242="","",IFERROR(INDEX(Listone!$D$2:$D$532,MATCH($A242,Listone!$A$2:$A$532,0)),""))</f>
        <v/>
      </c>
      <c r="E242" s="2">
        <f>IF($A242="","",IFERROR(INDEX(Listone!$G$2:$G$532,MATCH($A242,Listone!$A$2:$A$532,0)),""))</f>
        <v/>
      </c>
      <c r="F242" s="8" t="n"/>
      <c r="G242" s="8" t="n"/>
      <c r="H242" s="7">
        <f>IF(OR($A242="",$F242=""),"",$F242&amp;"|"&amp;$C242)</f>
        <v/>
      </c>
      <c r="I242" s="7">
        <f>IF($H242="","",COUNTIF($H$4:$H242,$H242))</f>
        <v/>
      </c>
      <c r="J242" s="7">
        <f>IF($H242="","",$H242&amp;"|"&amp;$I242)</f>
        <v/>
      </c>
    </row>
    <row r="243">
      <c r="A243" s="8" t="n"/>
      <c r="B243" s="2">
        <f>IF($A243="","",IFERROR(INDEX(Listone!$B$2:$B$532,MATCH($A243,Listone!$A$2:$A$532,0)),"?"))</f>
        <v/>
      </c>
      <c r="C243" s="2">
        <f>IF($A243="","",IFERROR(INDEX(Listone!$C$2:$C$532,MATCH($A243,Listone!$A$2:$A$532,0)),""))</f>
        <v/>
      </c>
      <c r="D243" s="2">
        <f>IF($A243="","",IFERROR(INDEX(Listone!$D$2:$D$532,MATCH($A243,Listone!$A$2:$A$532,0)),""))</f>
        <v/>
      </c>
      <c r="E243" s="2">
        <f>IF($A243="","",IFERROR(INDEX(Listone!$G$2:$G$532,MATCH($A243,Listone!$A$2:$A$532,0)),""))</f>
        <v/>
      </c>
      <c r="F243" s="8" t="n"/>
      <c r="G243" s="8" t="n"/>
      <c r="H243" s="7">
        <f>IF(OR($A243="",$F243=""),"",$F243&amp;"|"&amp;$C243)</f>
        <v/>
      </c>
      <c r="I243" s="7">
        <f>IF($H243="","",COUNTIF($H$4:$H243,$H243))</f>
        <v/>
      </c>
      <c r="J243" s="7">
        <f>IF($H243="","",$H243&amp;"|"&amp;$I243)</f>
        <v/>
      </c>
    </row>
    <row r="244">
      <c r="A244" s="8" t="n"/>
      <c r="B244" s="2">
        <f>IF($A244="","",IFERROR(INDEX(Listone!$B$2:$B$532,MATCH($A244,Listone!$A$2:$A$532,0)),"?"))</f>
        <v/>
      </c>
      <c r="C244" s="2">
        <f>IF($A244="","",IFERROR(INDEX(Listone!$C$2:$C$532,MATCH($A244,Listone!$A$2:$A$532,0)),""))</f>
        <v/>
      </c>
      <c r="D244" s="2">
        <f>IF($A244="","",IFERROR(INDEX(Listone!$D$2:$D$532,MATCH($A244,Listone!$A$2:$A$532,0)),""))</f>
        <v/>
      </c>
      <c r="E244" s="2">
        <f>IF($A244="","",IFERROR(INDEX(Listone!$G$2:$G$532,MATCH($A244,Listone!$A$2:$A$532,0)),""))</f>
        <v/>
      </c>
      <c r="F244" s="8" t="n"/>
      <c r="G244" s="8" t="n"/>
      <c r="H244" s="7">
        <f>IF(OR($A244="",$F244=""),"",$F244&amp;"|"&amp;$C244)</f>
        <v/>
      </c>
      <c r="I244" s="7">
        <f>IF($H244="","",COUNTIF($H$4:$H244,$H244))</f>
        <v/>
      </c>
      <c r="J244" s="7">
        <f>IF($H244="","",$H244&amp;"|"&amp;$I244)</f>
        <v/>
      </c>
    </row>
    <row r="245">
      <c r="A245" s="8" t="n"/>
      <c r="B245" s="2">
        <f>IF($A245="","",IFERROR(INDEX(Listone!$B$2:$B$532,MATCH($A245,Listone!$A$2:$A$532,0)),"?"))</f>
        <v/>
      </c>
      <c r="C245" s="2">
        <f>IF($A245="","",IFERROR(INDEX(Listone!$C$2:$C$532,MATCH($A245,Listone!$A$2:$A$532,0)),""))</f>
        <v/>
      </c>
      <c r="D245" s="2">
        <f>IF($A245="","",IFERROR(INDEX(Listone!$D$2:$D$532,MATCH($A245,Listone!$A$2:$A$532,0)),""))</f>
        <v/>
      </c>
      <c r="E245" s="2">
        <f>IF($A245="","",IFERROR(INDEX(Listone!$G$2:$G$532,MATCH($A245,Listone!$A$2:$A$532,0)),""))</f>
        <v/>
      </c>
      <c r="F245" s="8" t="n"/>
      <c r="G245" s="8" t="n"/>
      <c r="H245" s="7">
        <f>IF(OR($A245="",$F245=""),"",$F245&amp;"|"&amp;$C245)</f>
        <v/>
      </c>
      <c r="I245" s="7">
        <f>IF($H245="","",COUNTIF($H$4:$H245,$H245))</f>
        <v/>
      </c>
      <c r="J245" s="7">
        <f>IF($H245="","",$H245&amp;"|"&amp;$I245)</f>
        <v/>
      </c>
    </row>
    <row r="246">
      <c r="A246" s="8" t="n"/>
      <c r="B246" s="2">
        <f>IF($A246="","",IFERROR(INDEX(Listone!$B$2:$B$532,MATCH($A246,Listone!$A$2:$A$532,0)),"?"))</f>
        <v/>
      </c>
      <c r="C246" s="2">
        <f>IF($A246="","",IFERROR(INDEX(Listone!$C$2:$C$532,MATCH($A246,Listone!$A$2:$A$532,0)),""))</f>
        <v/>
      </c>
      <c r="D246" s="2">
        <f>IF($A246="","",IFERROR(INDEX(Listone!$D$2:$D$532,MATCH($A246,Listone!$A$2:$A$532,0)),""))</f>
        <v/>
      </c>
      <c r="E246" s="2">
        <f>IF($A246="","",IFERROR(INDEX(Listone!$G$2:$G$532,MATCH($A246,Listone!$A$2:$A$532,0)),""))</f>
        <v/>
      </c>
      <c r="F246" s="8" t="n"/>
      <c r="G246" s="8" t="n"/>
      <c r="H246" s="7">
        <f>IF(OR($A246="",$F246=""),"",$F246&amp;"|"&amp;$C246)</f>
        <v/>
      </c>
      <c r="I246" s="7">
        <f>IF($H246="","",COUNTIF($H$4:$H246,$H246))</f>
        <v/>
      </c>
      <c r="J246" s="7">
        <f>IF($H246="","",$H246&amp;"|"&amp;$I246)</f>
        <v/>
      </c>
    </row>
    <row r="247">
      <c r="A247" s="8" t="n"/>
      <c r="B247" s="2">
        <f>IF($A247="","",IFERROR(INDEX(Listone!$B$2:$B$532,MATCH($A247,Listone!$A$2:$A$532,0)),"?"))</f>
        <v/>
      </c>
      <c r="C247" s="2">
        <f>IF($A247="","",IFERROR(INDEX(Listone!$C$2:$C$532,MATCH($A247,Listone!$A$2:$A$532,0)),""))</f>
        <v/>
      </c>
      <c r="D247" s="2">
        <f>IF($A247="","",IFERROR(INDEX(Listone!$D$2:$D$532,MATCH($A247,Listone!$A$2:$A$532,0)),""))</f>
        <v/>
      </c>
      <c r="E247" s="2">
        <f>IF($A247="","",IFERROR(INDEX(Listone!$G$2:$G$532,MATCH($A247,Listone!$A$2:$A$532,0)),""))</f>
        <v/>
      </c>
      <c r="F247" s="8" t="n"/>
      <c r="G247" s="8" t="n"/>
      <c r="H247" s="7">
        <f>IF(OR($A247="",$F247=""),"",$F247&amp;"|"&amp;$C247)</f>
        <v/>
      </c>
      <c r="I247" s="7">
        <f>IF($H247="","",COUNTIF($H$4:$H247,$H247))</f>
        <v/>
      </c>
      <c r="J247" s="7">
        <f>IF($H247="","",$H247&amp;"|"&amp;$I247)</f>
        <v/>
      </c>
    </row>
    <row r="248">
      <c r="A248" s="8" t="n"/>
      <c r="B248" s="2">
        <f>IF($A248="","",IFERROR(INDEX(Listone!$B$2:$B$532,MATCH($A248,Listone!$A$2:$A$532,0)),"?"))</f>
        <v/>
      </c>
      <c r="C248" s="2">
        <f>IF($A248="","",IFERROR(INDEX(Listone!$C$2:$C$532,MATCH($A248,Listone!$A$2:$A$532,0)),""))</f>
        <v/>
      </c>
      <c r="D248" s="2">
        <f>IF($A248="","",IFERROR(INDEX(Listone!$D$2:$D$532,MATCH($A248,Listone!$A$2:$A$532,0)),""))</f>
        <v/>
      </c>
      <c r="E248" s="2">
        <f>IF($A248="","",IFERROR(INDEX(Listone!$G$2:$G$532,MATCH($A248,Listone!$A$2:$A$532,0)),""))</f>
        <v/>
      </c>
      <c r="F248" s="8" t="n"/>
      <c r="G248" s="8" t="n"/>
      <c r="H248" s="7">
        <f>IF(OR($A248="",$F248=""),"",$F248&amp;"|"&amp;$C248)</f>
        <v/>
      </c>
      <c r="I248" s="7">
        <f>IF($H248="","",COUNTIF($H$4:$H248,$H248))</f>
        <v/>
      </c>
      <c r="J248" s="7">
        <f>IF($H248="","",$H248&amp;"|"&amp;$I248)</f>
        <v/>
      </c>
    </row>
    <row r="249">
      <c r="A249" s="8" t="n"/>
      <c r="B249" s="2">
        <f>IF($A249="","",IFERROR(INDEX(Listone!$B$2:$B$532,MATCH($A249,Listone!$A$2:$A$532,0)),"?"))</f>
        <v/>
      </c>
      <c r="C249" s="2">
        <f>IF($A249="","",IFERROR(INDEX(Listone!$C$2:$C$532,MATCH($A249,Listone!$A$2:$A$532,0)),""))</f>
        <v/>
      </c>
      <c r="D249" s="2">
        <f>IF($A249="","",IFERROR(INDEX(Listone!$D$2:$D$532,MATCH($A249,Listone!$A$2:$A$532,0)),""))</f>
        <v/>
      </c>
      <c r="E249" s="2">
        <f>IF($A249="","",IFERROR(INDEX(Listone!$G$2:$G$532,MATCH($A249,Listone!$A$2:$A$532,0)),""))</f>
        <v/>
      </c>
      <c r="F249" s="8" t="n"/>
      <c r="G249" s="8" t="n"/>
      <c r="H249" s="7">
        <f>IF(OR($A249="",$F249=""),"",$F249&amp;"|"&amp;$C249)</f>
        <v/>
      </c>
      <c r="I249" s="7">
        <f>IF($H249="","",COUNTIF($H$4:$H249,$H249))</f>
        <v/>
      </c>
      <c r="J249" s="7">
        <f>IF($H249="","",$H249&amp;"|"&amp;$I249)</f>
        <v/>
      </c>
    </row>
    <row r="250">
      <c r="A250" s="8" t="n"/>
      <c r="B250" s="2">
        <f>IF($A250="","",IFERROR(INDEX(Listone!$B$2:$B$532,MATCH($A250,Listone!$A$2:$A$532,0)),"?"))</f>
        <v/>
      </c>
      <c r="C250" s="2">
        <f>IF($A250="","",IFERROR(INDEX(Listone!$C$2:$C$532,MATCH($A250,Listone!$A$2:$A$532,0)),""))</f>
        <v/>
      </c>
      <c r="D250" s="2">
        <f>IF($A250="","",IFERROR(INDEX(Listone!$D$2:$D$532,MATCH($A250,Listone!$A$2:$A$532,0)),""))</f>
        <v/>
      </c>
      <c r="E250" s="2">
        <f>IF($A250="","",IFERROR(INDEX(Listone!$G$2:$G$532,MATCH($A250,Listone!$A$2:$A$532,0)),""))</f>
        <v/>
      </c>
      <c r="F250" s="8" t="n"/>
      <c r="G250" s="8" t="n"/>
      <c r="H250" s="7">
        <f>IF(OR($A250="",$F250=""),"",$F250&amp;"|"&amp;$C250)</f>
        <v/>
      </c>
      <c r="I250" s="7">
        <f>IF($H250="","",COUNTIF($H$4:$H250,$H250))</f>
        <v/>
      </c>
      <c r="J250" s="7">
        <f>IF($H250="","",$H250&amp;"|"&amp;$I250)</f>
        <v/>
      </c>
    </row>
    <row r="251">
      <c r="A251" s="8" t="n"/>
      <c r="B251" s="2">
        <f>IF($A251="","",IFERROR(INDEX(Listone!$B$2:$B$532,MATCH($A251,Listone!$A$2:$A$532,0)),"?"))</f>
        <v/>
      </c>
      <c r="C251" s="2">
        <f>IF($A251="","",IFERROR(INDEX(Listone!$C$2:$C$532,MATCH($A251,Listone!$A$2:$A$532,0)),""))</f>
        <v/>
      </c>
      <c r="D251" s="2">
        <f>IF($A251="","",IFERROR(INDEX(Listone!$D$2:$D$532,MATCH($A251,Listone!$A$2:$A$532,0)),""))</f>
        <v/>
      </c>
      <c r="E251" s="2">
        <f>IF($A251="","",IFERROR(INDEX(Listone!$G$2:$G$532,MATCH($A251,Listone!$A$2:$A$532,0)),""))</f>
        <v/>
      </c>
      <c r="F251" s="8" t="n"/>
      <c r="G251" s="8" t="n"/>
      <c r="H251" s="7">
        <f>IF(OR($A251="",$F251=""),"",$F251&amp;"|"&amp;$C251)</f>
        <v/>
      </c>
      <c r="I251" s="7">
        <f>IF($H251="","",COUNTIF($H$4:$H251,$H251))</f>
        <v/>
      </c>
      <c r="J251" s="7">
        <f>IF($H251="","",$H251&amp;"|"&amp;$I251)</f>
        <v/>
      </c>
    </row>
    <row r="252">
      <c r="A252" s="8" t="n"/>
      <c r="B252" s="2">
        <f>IF($A252="","",IFERROR(INDEX(Listone!$B$2:$B$532,MATCH($A252,Listone!$A$2:$A$532,0)),"?"))</f>
        <v/>
      </c>
      <c r="C252" s="2">
        <f>IF($A252="","",IFERROR(INDEX(Listone!$C$2:$C$532,MATCH($A252,Listone!$A$2:$A$532,0)),""))</f>
        <v/>
      </c>
      <c r="D252" s="2">
        <f>IF($A252="","",IFERROR(INDEX(Listone!$D$2:$D$532,MATCH($A252,Listone!$A$2:$A$532,0)),""))</f>
        <v/>
      </c>
      <c r="E252" s="2">
        <f>IF($A252="","",IFERROR(INDEX(Listone!$G$2:$G$532,MATCH($A252,Listone!$A$2:$A$532,0)),""))</f>
        <v/>
      </c>
      <c r="F252" s="8" t="n"/>
      <c r="G252" s="8" t="n"/>
      <c r="H252" s="7">
        <f>IF(OR($A252="",$F252=""),"",$F252&amp;"|"&amp;$C252)</f>
        <v/>
      </c>
      <c r="I252" s="7">
        <f>IF($H252="","",COUNTIF($H$4:$H252,$H252))</f>
        <v/>
      </c>
      <c r="J252" s="7">
        <f>IF($H252="","",$H252&amp;"|"&amp;$I252)</f>
        <v/>
      </c>
    </row>
    <row r="253">
      <c r="A253" s="8" t="n"/>
      <c r="B253" s="2">
        <f>IF($A253="","",IFERROR(INDEX(Listone!$B$2:$B$532,MATCH($A253,Listone!$A$2:$A$532,0)),"?"))</f>
        <v/>
      </c>
      <c r="C253" s="2">
        <f>IF($A253="","",IFERROR(INDEX(Listone!$C$2:$C$532,MATCH($A253,Listone!$A$2:$A$532,0)),""))</f>
        <v/>
      </c>
      <c r="D253" s="2">
        <f>IF($A253="","",IFERROR(INDEX(Listone!$D$2:$D$532,MATCH($A253,Listone!$A$2:$A$532,0)),""))</f>
        <v/>
      </c>
      <c r="E253" s="2">
        <f>IF($A253="","",IFERROR(INDEX(Listone!$G$2:$G$532,MATCH($A253,Listone!$A$2:$A$532,0)),""))</f>
        <v/>
      </c>
      <c r="F253" s="8" t="n"/>
      <c r="G253" s="8" t="n"/>
      <c r="H253" s="7">
        <f>IF(OR($A253="",$F253=""),"",$F253&amp;"|"&amp;$C253)</f>
        <v/>
      </c>
      <c r="I253" s="7">
        <f>IF($H253="","",COUNTIF($H$4:$H253,$H253))</f>
        <v/>
      </c>
      <c r="J253" s="7">
        <f>IF($H253="","",$H253&amp;"|"&amp;$I253)</f>
        <v/>
      </c>
    </row>
    <row r="254">
      <c r="A254" s="8" t="n"/>
      <c r="B254" s="2">
        <f>IF($A254="","",IFERROR(INDEX(Listone!$B$2:$B$532,MATCH($A254,Listone!$A$2:$A$532,0)),"?"))</f>
        <v/>
      </c>
      <c r="C254" s="2">
        <f>IF($A254="","",IFERROR(INDEX(Listone!$C$2:$C$532,MATCH($A254,Listone!$A$2:$A$532,0)),""))</f>
        <v/>
      </c>
      <c r="D254" s="2">
        <f>IF($A254="","",IFERROR(INDEX(Listone!$D$2:$D$532,MATCH($A254,Listone!$A$2:$A$532,0)),""))</f>
        <v/>
      </c>
      <c r="E254" s="2">
        <f>IF($A254="","",IFERROR(INDEX(Listone!$G$2:$G$532,MATCH($A254,Listone!$A$2:$A$532,0)),""))</f>
        <v/>
      </c>
      <c r="F254" s="8" t="n"/>
      <c r="G254" s="8" t="n"/>
      <c r="H254" s="7">
        <f>IF(OR($A254="",$F254=""),"",$F254&amp;"|"&amp;$C254)</f>
        <v/>
      </c>
      <c r="I254" s="7">
        <f>IF($H254="","",COUNTIF($H$4:$H254,$H254))</f>
        <v/>
      </c>
      <c r="J254" s="7">
        <f>IF($H254="","",$H254&amp;"|"&amp;$I254)</f>
        <v/>
      </c>
    </row>
    <row r="255">
      <c r="A255" s="8" t="n"/>
      <c r="B255" s="2">
        <f>IF($A255="","",IFERROR(INDEX(Listone!$B$2:$B$532,MATCH($A255,Listone!$A$2:$A$532,0)),"?"))</f>
        <v/>
      </c>
      <c r="C255" s="2">
        <f>IF($A255="","",IFERROR(INDEX(Listone!$C$2:$C$532,MATCH($A255,Listone!$A$2:$A$532,0)),""))</f>
        <v/>
      </c>
      <c r="D255" s="2">
        <f>IF($A255="","",IFERROR(INDEX(Listone!$D$2:$D$532,MATCH($A255,Listone!$A$2:$A$532,0)),""))</f>
        <v/>
      </c>
      <c r="E255" s="2">
        <f>IF($A255="","",IFERROR(INDEX(Listone!$G$2:$G$532,MATCH($A255,Listone!$A$2:$A$532,0)),""))</f>
        <v/>
      </c>
      <c r="F255" s="8" t="n"/>
      <c r="G255" s="8" t="n"/>
      <c r="H255" s="7">
        <f>IF(OR($A255="",$F255=""),"",$F255&amp;"|"&amp;$C255)</f>
        <v/>
      </c>
      <c r="I255" s="7">
        <f>IF($H255="","",COUNTIF($H$4:$H255,$H255))</f>
        <v/>
      </c>
      <c r="J255" s="7">
        <f>IF($H255="","",$H255&amp;"|"&amp;$I255)</f>
        <v/>
      </c>
    </row>
    <row r="256">
      <c r="A256" s="8" t="n"/>
      <c r="B256" s="2">
        <f>IF($A256="","",IFERROR(INDEX(Listone!$B$2:$B$532,MATCH($A256,Listone!$A$2:$A$532,0)),"?"))</f>
        <v/>
      </c>
      <c r="C256" s="2">
        <f>IF($A256="","",IFERROR(INDEX(Listone!$C$2:$C$532,MATCH($A256,Listone!$A$2:$A$532,0)),""))</f>
        <v/>
      </c>
      <c r="D256" s="2">
        <f>IF($A256="","",IFERROR(INDEX(Listone!$D$2:$D$532,MATCH($A256,Listone!$A$2:$A$532,0)),""))</f>
        <v/>
      </c>
      <c r="E256" s="2">
        <f>IF($A256="","",IFERROR(INDEX(Listone!$G$2:$G$532,MATCH($A256,Listone!$A$2:$A$532,0)),""))</f>
        <v/>
      </c>
      <c r="F256" s="8" t="n"/>
      <c r="G256" s="8" t="n"/>
      <c r="H256" s="7">
        <f>IF(OR($A256="",$F256=""),"",$F256&amp;"|"&amp;$C256)</f>
        <v/>
      </c>
      <c r="I256" s="7">
        <f>IF($H256="","",COUNTIF($H$4:$H256,$H256))</f>
        <v/>
      </c>
      <c r="J256" s="7">
        <f>IF($H256="","",$H256&amp;"|"&amp;$I256)</f>
        <v/>
      </c>
    </row>
    <row r="257">
      <c r="A257" s="8" t="n"/>
      <c r="B257" s="2">
        <f>IF($A257="","",IFERROR(INDEX(Listone!$B$2:$B$532,MATCH($A257,Listone!$A$2:$A$532,0)),"?"))</f>
        <v/>
      </c>
      <c r="C257" s="2">
        <f>IF($A257="","",IFERROR(INDEX(Listone!$C$2:$C$532,MATCH($A257,Listone!$A$2:$A$532,0)),""))</f>
        <v/>
      </c>
      <c r="D257" s="2">
        <f>IF($A257="","",IFERROR(INDEX(Listone!$D$2:$D$532,MATCH($A257,Listone!$A$2:$A$532,0)),""))</f>
        <v/>
      </c>
      <c r="E257" s="2">
        <f>IF($A257="","",IFERROR(INDEX(Listone!$G$2:$G$532,MATCH($A257,Listone!$A$2:$A$532,0)),""))</f>
        <v/>
      </c>
      <c r="F257" s="8" t="n"/>
      <c r="G257" s="8" t="n"/>
      <c r="H257" s="7">
        <f>IF(OR($A257="",$F257=""),"",$F257&amp;"|"&amp;$C257)</f>
        <v/>
      </c>
      <c r="I257" s="7">
        <f>IF($H257="","",COUNTIF($H$4:$H257,$H257))</f>
        <v/>
      </c>
      <c r="J257" s="7">
        <f>IF($H257="","",$H257&amp;"|"&amp;$I257)</f>
        <v/>
      </c>
    </row>
    <row r="258">
      <c r="A258" s="8" t="n"/>
      <c r="B258" s="2">
        <f>IF($A258="","",IFERROR(INDEX(Listone!$B$2:$B$532,MATCH($A258,Listone!$A$2:$A$532,0)),"?"))</f>
        <v/>
      </c>
      <c r="C258" s="2">
        <f>IF($A258="","",IFERROR(INDEX(Listone!$C$2:$C$532,MATCH($A258,Listone!$A$2:$A$532,0)),""))</f>
        <v/>
      </c>
      <c r="D258" s="2">
        <f>IF($A258="","",IFERROR(INDEX(Listone!$D$2:$D$532,MATCH($A258,Listone!$A$2:$A$532,0)),""))</f>
        <v/>
      </c>
      <c r="E258" s="2">
        <f>IF($A258="","",IFERROR(INDEX(Listone!$G$2:$G$532,MATCH($A258,Listone!$A$2:$A$532,0)),""))</f>
        <v/>
      </c>
      <c r="F258" s="8" t="n"/>
      <c r="G258" s="8" t="n"/>
      <c r="H258" s="7">
        <f>IF(OR($A258="",$F258=""),"",$F258&amp;"|"&amp;$C258)</f>
        <v/>
      </c>
      <c r="I258" s="7">
        <f>IF($H258="","",COUNTIF($H$4:$H258,$H258))</f>
        <v/>
      </c>
      <c r="J258" s="7">
        <f>IF($H258="","",$H258&amp;"|"&amp;$I258)</f>
        <v/>
      </c>
    </row>
    <row r="259">
      <c r="A259" s="8" t="n"/>
      <c r="B259" s="2">
        <f>IF($A259="","",IFERROR(INDEX(Listone!$B$2:$B$532,MATCH($A259,Listone!$A$2:$A$532,0)),"?"))</f>
        <v/>
      </c>
      <c r="C259" s="2">
        <f>IF($A259="","",IFERROR(INDEX(Listone!$C$2:$C$532,MATCH($A259,Listone!$A$2:$A$532,0)),""))</f>
        <v/>
      </c>
      <c r="D259" s="2">
        <f>IF($A259="","",IFERROR(INDEX(Listone!$D$2:$D$532,MATCH($A259,Listone!$A$2:$A$532,0)),""))</f>
        <v/>
      </c>
      <c r="E259" s="2">
        <f>IF($A259="","",IFERROR(INDEX(Listone!$G$2:$G$532,MATCH($A259,Listone!$A$2:$A$532,0)),""))</f>
        <v/>
      </c>
      <c r="F259" s="8" t="n"/>
      <c r="G259" s="8" t="n"/>
      <c r="H259" s="7">
        <f>IF(OR($A259="",$F259=""),"",$F259&amp;"|"&amp;$C259)</f>
        <v/>
      </c>
      <c r="I259" s="7">
        <f>IF($H259="","",COUNTIF($H$4:$H259,$H259))</f>
        <v/>
      </c>
      <c r="J259" s="7">
        <f>IF($H259="","",$H259&amp;"|"&amp;$I259)</f>
        <v/>
      </c>
    </row>
    <row r="260">
      <c r="A260" s="8" t="n"/>
      <c r="B260" s="2">
        <f>IF($A260="","",IFERROR(INDEX(Listone!$B$2:$B$532,MATCH($A260,Listone!$A$2:$A$532,0)),"?"))</f>
        <v/>
      </c>
      <c r="C260" s="2">
        <f>IF($A260="","",IFERROR(INDEX(Listone!$C$2:$C$532,MATCH($A260,Listone!$A$2:$A$532,0)),""))</f>
        <v/>
      </c>
      <c r="D260" s="2">
        <f>IF($A260="","",IFERROR(INDEX(Listone!$D$2:$D$532,MATCH($A260,Listone!$A$2:$A$532,0)),""))</f>
        <v/>
      </c>
      <c r="E260" s="2">
        <f>IF($A260="","",IFERROR(INDEX(Listone!$G$2:$G$532,MATCH($A260,Listone!$A$2:$A$532,0)),""))</f>
        <v/>
      </c>
      <c r="F260" s="8" t="n"/>
      <c r="G260" s="8" t="n"/>
      <c r="H260" s="7">
        <f>IF(OR($A260="",$F260=""),"",$F260&amp;"|"&amp;$C260)</f>
        <v/>
      </c>
      <c r="I260" s="7">
        <f>IF($H260="","",COUNTIF($H$4:$H260,$H260))</f>
        <v/>
      </c>
      <c r="J260" s="7">
        <f>IF($H260="","",$H260&amp;"|"&amp;$I260)</f>
        <v/>
      </c>
    </row>
    <row r="261">
      <c r="A261" s="8" t="n"/>
      <c r="B261" s="2">
        <f>IF($A261="","",IFERROR(INDEX(Listone!$B$2:$B$532,MATCH($A261,Listone!$A$2:$A$532,0)),"?"))</f>
        <v/>
      </c>
      <c r="C261" s="2">
        <f>IF($A261="","",IFERROR(INDEX(Listone!$C$2:$C$532,MATCH($A261,Listone!$A$2:$A$532,0)),""))</f>
        <v/>
      </c>
      <c r="D261" s="2">
        <f>IF($A261="","",IFERROR(INDEX(Listone!$D$2:$D$532,MATCH($A261,Listone!$A$2:$A$532,0)),""))</f>
        <v/>
      </c>
      <c r="E261" s="2">
        <f>IF($A261="","",IFERROR(INDEX(Listone!$G$2:$G$532,MATCH($A261,Listone!$A$2:$A$532,0)),""))</f>
        <v/>
      </c>
      <c r="F261" s="8" t="n"/>
      <c r="G261" s="8" t="n"/>
      <c r="H261" s="7">
        <f>IF(OR($A261="",$F261=""),"",$F261&amp;"|"&amp;$C261)</f>
        <v/>
      </c>
      <c r="I261" s="7">
        <f>IF($H261="","",COUNTIF($H$4:$H261,$H261))</f>
        <v/>
      </c>
      <c r="J261" s="7">
        <f>IF($H261="","",$H261&amp;"|"&amp;$I261)</f>
        <v/>
      </c>
    </row>
    <row r="262">
      <c r="A262" s="8" t="n"/>
      <c r="B262" s="2">
        <f>IF($A262="","",IFERROR(INDEX(Listone!$B$2:$B$532,MATCH($A262,Listone!$A$2:$A$532,0)),"?"))</f>
        <v/>
      </c>
      <c r="C262" s="2">
        <f>IF($A262="","",IFERROR(INDEX(Listone!$C$2:$C$532,MATCH($A262,Listone!$A$2:$A$532,0)),""))</f>
        <v/>
      </c>
      <c r="D262" s="2">
        <f>IF($A262="","",IFERROR(INDEX(Listone!$D$2:$D$532,MATCH($A262,Listone!$A$2:$A$532,0)),""))</f>
        <v/>
      </c>
      <c r="E262" s="2">
        <f>IF($A262="","",IFERROR(INDEX(Listone!$G$2:$G$532,MATCH($A262,Listone!$A$2:$A$532,0)),""))</f>
        <v/>
      </c>
      <c r="F262" s="8" t="n"/>
      <c r="G262" s="8" t="n"/>
      <c r="H262" s="7">
        <f>IF(OR($A262="",$F262=""),"",$F262&amp;"|"&amp;$C262)</f>
        <v/>
      </c>
      <c r="I262" s="7">
        <f>IF($H262="","",COUNTIF($H$4:$H262,$H262))</f>
        <v/>
      </c>
      <c r="J262" s="7">
        <f>IF($H262="","",$H262&amp;"|"&amp;$I262)</f>
        <v/>
      </c>
    </row>
    <row r="263">
      <c r="A263" s="8" t="n"/>
      <c r="B263" s="2">
        <f>IF($A263="","",IFERROR(INDEX(Listone!$B$2:$B$532,MATCH($A263,Listone!$A$2:$A$532,0)),"?"))</f>
        <v/>
      </c>
      <c r="C263" s="2">
        <f>IF($A263="","",IFERROR(INDEX(Listone!$C$2:$C$532,MATCH($A263,Listone!$A$2:$A$532,0)),""))</f>
        <v/>
      </c>
      <c r="D263" s="2">
        <f>IF($A263="","",IFERROR(INDEX(Listone!$D$2:$D$532,MATCH($A263,Listone!$A$2:$A$532,0)),""))</f>
        <v/>
      </c>
      <c r="E263" s="2">
        <f>IF($A263="","",IFERROR(INDEX(Listone!$G$2:$G$532,MATCH($A263,Listone!$A$2:$A$532,0)),""))</f>
        <v/>
      </c>
      <c r="F263" s="8" t="n"/>
      <c r="G263" s="8" t="n"/>
      <c r="H263" s="7">
        <f>IF(OR($A263="",$F263=""),"",$F263&amp;"|"&amp;$C263)</f>
        <v/>
      </c>
      <c r="I263" s="7">
        <f>IF($H263="","",COUNTIF($H$4:$H263,$H263))</f>
        <v/>
      </c>
      <c r="J263" s="7">
        <f>IF($H263="","",$H263&amp;"|"&amp;$I263)</f>
        <v/>
      </c>
    </row>
    <row r="264">
      <c r="A264" s="8" t="n"/>
      <c r="B264" s="2">
        <f>IF($A264="","",IFERROR(INDEX(Listone!$B$2:$B$532,MATCH($A264,Listone!$A$2:$A$532,0)),"?"))</f>
        <v/>
      </c>
      <c r="C264" s="2">
        <f>IF($A264="","",IFERROR(INDEX(Listone!$C$2:$C$532,MATCH($A264,Listone!$A$2:$A$532,0)),""))</f>
        <v/>
      </c>
      <c r="D264" s="2">
        <f>IF($A264="","",IFERROR(INDEX(Listone!$D$2:$D$532,MATCH($A264,Listone!$A$2:$A$532,0)),""))</f>
        <v/>
      </c>
      <c r="E264" s="2">
        <f>IF($A264="","",IFERROR(INDEX(Listone!$G$2:$G$532,MATCH($A264,Listone!$A$2:$A$532,0)),""))</f>
        <v/>
      </c>
      <c r="F264" s="8" t="n"/>
      <c r="G264" s="8" t="n"/>
      <c r="H264" s="7">
        <f>IF(OR($A264="",$F264=""),"",$F264&amp;"|"&amp;$C264)</f>
        <v/>
      </c>
      <c r="I264" s="7">
        <f>IF($H264="","",COUNTIF($H$4:$H264,$H264))</f>
        <v/>
      </c>
      <c r="J264" s="7">
        <f>IF($H264="","",$H264&amp;"|"&amp;$I264)</f>
        <v/>
      </c>
    </row>
    <row r="265">
      <c r="A265" s="8" t="n"/>
      <c r="B265" s="2">
        <f>IF($A265="","",IFERROR(INDEX(Listone!$B$2:$B$532,MATCH($A265,Listone!$A$2:$A$532,0)),"?"))</f>
        <v/>
      </c>
      <c r="C265" s="2">
        <f>IF($A265="","",IFERROR(INDEX(Listone!$C$2:$C$532,MATCH($A265,Listone!$A$2:$A$532,0)),""))</f>
        <v/>
      </c>
      <c r="D265" s="2">
        <f>IF($A265="","",IFERROR(INDEX(Listone!$D$2:$D$532,MATCH($A265,Listone!$A$2:$A$532,0)),""))</f>
        <v/>
      </c>
      <c r="E265" s="2">
        <f>IF($A265="","",IFERROR(INDEX(Listone!$G$2:$G$532,MATCH($A265,Listone!$A$2:$A$532,0)),""))</f>
        <v/>
      </c>
      <c r="F265" s="8" t="n"/>
      <c r="G265" s="8" t="n"/>
      <c r="H265" s="7">
        <f>IF(OR($A265="",$F265=""),"",$F265&amp;"|"&amp;$C265)</f>
        <v/>
      </c>
      <c r="I265" s="7">
        <f>IF($H265="","",COUNTIF($H$4:$H265,$H265))</f>
        <v/>
      </c>
      <c r="J265" s="7">
        <f>IF($H265="","",$H265&amp;"|"&amp;$I265)</f>
        <v/>
      </c>
    </row>
    <row r="266">
      <c r="A266" s="8" t="n"/>
      <c r="B266" s="2">
        <f>IF($A266="","",IFERROR(INDEX(Listone!$B$2:$B$532,MATCH($A266,Listone!$A$2:$A$532,0)),"?"))</f>
        <v/>
      </c>
      <c r="C266" s="2">
        <f>IF($A266="","",IFERROR(INDEX(Listone!$C$2:$C$532,MATCH($A266,Listone!$A$2:$A$532,0)),""))</f>
        <v/>
      </c>
      <c r="D266" s="2">
        <f>IF($A266="","",IFERROR(INDEX(Listone!$D$2:$D$532,MATCH($A266,Listone!$A$2:$A$532,0)),""))</f>
        <v/>
      </c>
      <c r="E266" s="2">
        <f>IF($A266="","",IFERROR(INDEX(Listone!$G$2:$G$532,MATCH($A266,Listone!$A$2:$A$532,0)),""))</f>
        <v/>
      </c>
      <c r="F266" s="8" t="n"/>
      <c r="G266" s="8" t="n"/>
      <c r="H266" s="7">
        <f>IF(OR($A266="",$F266=""),"",$F266&amp;"|"&amp;$C266)</f>
        <v/>
      </c>
      <c r="I266" s="7">
        <f>IF($H266="","",COUNTIF($H$4:$H266,$H266))</f>
        <v/>
      </c>
      <c r="J266" s="7">
        <f>IF($H266="","",$H266&amp;"|"&amp;$I266)</f>
        <v/>
      </c>
    </row>
    <row r="267">
      <c r="A267" s="8" t="n"/>
      <c r="B267" s="2">
        <f>IF($A267="","",IFERROR(INDEX(Listone!$B$2:$B$532,MATCH($A267,Listone!$A$2:$A$532,0)),"?"))</f>
        <v/>
      </c>
      <c r="C267" s="2">
        <f>IF($A267="","",IFERROR(INDEX(Listone!$C$2:$C$532,MATCH($A267,Listone!$A$2:$A$532,0)),""))</f>
        <v/>
      </c>
      <c r="D267" s="2">
        <f>IF($A267="","",IFERROR(INDEX(Listone!$D$2:$D$532,MATCH($A267,Listone!$A$2:$A$532,0)),""))</f>
        <v/>
      </c>
      <c r="E267" s="2">
        <f>IF($A267="","",IFERROR(INDEX(Listone!$G$2:$G$532,MATCH($A267,Listone!$A$2:$A$532,0)),""))</f>
        <v/>
      </c>
      <c r="F267" s="8" t="n"/>
      <c r="G267" s="8" t="n"/>
      <c r="H267" s="7">
        <f>IF(OR($A267="",$F267=""),"",$F267&amp;"|"&amp;$C267)</f>
        <v/>
      </c>
      <c r="I267" s="7">
        <f>IF($H267="","",COUNTIF($H$4:$H267,$H267))</f>
        <v/>
      </c>
      <c r="J267" s="7">
        <f>IF($H267="","",$H267&amp;"|"&amp;$I267)</f>
        <v/>
      </c>
    </row>
    <row r="268">
      <c r="A268" s="8" t="n"/>
      <c r="B268" s="2">
        <f>IF($A268="","",IFERROR(INDEX(Listone!$B$2:$B$532,MATCH($A268,Listone!$A$2:$A$532,0)),"?"))</f>
        <v/>
      </c>
      <c r="C268" s="2">
        <f>IF($A268="","",IFERROR(INDEX(Listone!$C$2:$C$532,MATCH($A268,Listone!$A$2:$A$532,0)),""))</f>
        <v/>
      </c>
      <c r="D268" s="2">
        <f>IF($A268="","",IFERROR(INDEX(Listone!$D$2:$D$532,MATCH($A268,Listone!$A$2:$A$532,0)),""))</f>
        <v/>
      </c>
      <c r="E268" s="2">
        <f>IF($A268="","",IFERROR(INDEX(Listone!$G$2:$G$532,MATCH($A268,Listone!$A$2:$A$532,0)),""))</f>
        <v/>
      </c>
      <c r="F268" s="8" t="n"/>
      <c r="G268" s="8" t="n"/>
      <c r="H268" s="7">
        <f>IF(OR($A268="",$F268=""),"",$F268&amp;"|"&amp;$C268)</f>
        <v/>
      </c>
      <c r="I268" s="7">
        <f>IF($H268="","",COUNTIF($H$4:$H268,$H268))</f>
        <v/>
      </c>
      <c r="J268" s="7">
        <f>IF($H268="","",$H268&amp;"|"&amp;$I268)</f>
        <v/>
      </c>
    </row>
    <row r="269">
      <c r="A269" s="8" t="n"/>
      <c r="B269" s="2">
        <f>IF($A269="","",IFERROR(INDEX(Listone!$B$2:$B$532,MATCH($A269,Listone!$A$2:$A$532,0)),"?"))</f>
        <v/>
      </c>
      <c r="C269" s="2">
        <f>IF($A269="","",IFERROR(INDEX(Listone!$C$2:$C$532,MATCH($A269,Listone!$A$2:$A$532,0)),""))</f>
        <v/>
      </c>
      <c r="D269" s="2">
        <f>IF($A269="","",IFERROR(INDEX(Listone!$D$2:$D$532,MATCH($A269,Listone!$A$2:$A$532,0)),""))</f>
        <v/>
      </c>
      <c r="E269" s="2">
        <f>IF($A269="","",IFERROR(INDEX(Listone!$G$2:$G$532,MATCH($A269,Listone!$A$2:$A$532,0)),""))</f>
        <v/>
      </c>
      <c r="F269" s="8" t="n"/>
      <c r="G269" s="8" t="n"/>
      <c r="H269" s="7">
        <f>IF(OR($A269="",$F269=""),"",$F269&amp;"|"&amp;$C269)</f>
        <v/>
      </c>
      <c r="I269" s="7">
        <f>IF($H269="","",COUNTIF($H$4:$H269,$H269))</f>
        <v/>
      </c>
      <c r="J269" s="7">
        <f>IF($H269="","",$H269&amp;"|"&amp;$I269)</f>
        <v/>
      </c>
    </row>
    <row r="270">
      <c r="A270" s="8" t="n"/>
      <c r="B270" s="2">
        <f>IF($A270="","",IFERROR(INDEX(Listone!$B$2:$B$532,MATCH($A270,Listone!$A$2:$A$532,0)),"?"))</f>
        <v/>
      </c>
      <c r="C270" s="2">
        <f>IF($A270="","",IFERROR(INDEX(Listone!$C$2:$C$532,MATCH($A270,Listone!$A$2:$A$532,0)),""))</f>
        <v/>
      </c>
      <c r="D270" s="2">
        <f>IF($A270="","",IFERROR(INDEX(Listone!$D$2:$D$532,MATCH($A270,Listone!$A$2:$A$532,0)),""))</f>
        <v/>
      </c>
      <c r="E270" s="2">
        <f>IF($A270="","",IFERROR(INDEX(Listone!$G$2:$G$532,MATCH($A270,Listone!$A$2:$A$532,0)),""))</f>
        <v/>
      </c>
      <c r="F270" s="8" t="n"/>
      <c r="G270" s="8" t="n"/>
      <c r="H270" s="7">
        <f>IF(OR($A270="",$F270=""),"",$F270&amp;"|"&amp;$C270)</f>
        <v/>
      </c>
      <c r="I270" s="7">
        <f>IF($H270="","",COUNTIF($H$4:$H270,$H270))</f>
        <v/>
      </c>
      <c r="J270" s="7">
        <f>IF($H270="","",$H270&amp;"|"&amp;$I270)</f>
        <v/>
      </c>
    </row>
    <row r="271">
      <c r="A271" s="8" t="n"/>
      <c r="B271" s="2">
        <f>IF($A271="","",IFERROR(INDEX(Listone!$B$2:$B$532,MATCH($A271,Listone!$A$2:$A$532,0)),"?"))</f>
        <v/>
      </c>
      <c r="C271" s="2">
        <f>IF($A271="","",IFERROR(INDEX(Listone!$C$2:$C$532,MATCH($A271,Listone!$A$2:$A$532,0)),""))</f>
        <v/>
      </c>
      <c r="D271" s="2">
        <f>IF($A271="","",IFERROR(INDEX(Listone!$D$2:$D$532,MATCH($A271,Listone!$A$2:$A$532,0)),""))</f>
        <v/>
      </c>
      <c r="E271" s="2">
        <f>IF($A271="","",IFERROR(INDEX(Listone!$G$2:$G$532,MATCH($A271,Listone!$A$2:$A$532,0)),""))</f>
        <v/>
      </c>
      <c r="F271" s="8" t="n"/>
      <c r="G271" s="8" t="n"/>
      <c r="H271" s="7">
        <f>IF(OR($A271="",$F271=""),"",$F271&amp;"|"&amp;$C271)</f>
        <v/>
      </c>
      <c r="I271" s="7">
        <f>IF($H271="","",COUNTIF($H$4:$H271,$H271))</f>
        <v/>
      </c>
      <c r="J271" s="7">
        <f>IF($H271="","",$H271&amp;"|"&amp;$I271)</f>
        <v/>
      </c>
    </row>
    <row r="272">
      <c r="A272" s="8" t="n"/>
      <c r="B272" s="2">
        <f>IF($A272="","",IFERROR(INDEX(Listone!$B$2:$B$532,MATCH($A272,Listone!$A$2:$A$532,0)),"?"))</f>
        <v/>
      </c>
      <c r="C272" s="2">
        <f>IF($A272="","",IFERROR(INDEX(Listone!$C$2:$C$532,MATCH($A272,Listone!$A$2:$A$532,0)),""))</f>
        <v/>
      </c>
      <c r="D272" s="2">
        <f>IF($A272="","",IFERROR(INDEX(Listone!$D$2:$D$532,MATCH($A272,Listone!$A$2:$A$532,0)),""))</f>
        <v/>
      </c>
      <c r="E272" s="2">
        <f>IF($A272="","",IFERROR(INDEX(Listone!$G$2:$G$532,MATCH($A272,Listone!$A$2:$A$532,0)),""))</f>
        <v/>
      </c>
      <c r="F272" s="8" t="n"/>
      <c r="G272" s="8" t="n"/>
      <c r="H272" s="7">
        <f>IF(OR($A272="",$F272=""),"",$F272&amp;"|"&amp;$C272)</f>
        <v/>
      </c>
      <c r="I272" s="7">
        <f>IF($H272="","",COUNTIF($H$4:$H272,$H272))</f>
        <v/>
      </c>
      <c r="J272" s="7">
        <f>IF($H272="","",$H272&amp;"|"&amp;$I272)</f>
        <v/>
      </c>
    </row>
    <row r="273">
      <c r="A273" s="8" t="n"/>
      <c r="B273" s="2">
        <f>IF($A273="","",IFERROR(INDEX(Listone!$B$2:$B$532,MATCH($A273,Listone!$A$2:$A$532,0)),"?"))</f>
        <v/>
      </c>
      <c r="C273" s="2">
        <f>IF($A273="","",IFERROR(INDEX(Listone!$C$2:$C$532,MATCH($A273,Listone!$A$2:$A$532,0)),""))</f>
        <v/>
      </c>
      <c r="D273" s="2">
        <f>IF($A273="","",IFERROR(INDEX(Listone!$D$2:$D$532,MATCH($A273,Listone!$A$2:$A$532,0)),""))</f>
        <v/>
      </c>
      <c r="E273" s="2">
        <f>IF($A273="","",IFERROR(INDEX(Listone!$G$2:$G$532,MATCH($A273,Listone!$A$2:$A$532,0)),""))</f>
        <v/>
      </c>
      <c r="F273" s="8" t="n"/>
      <c r="G273" s="8" t="n"/>
      <c r="H273" s="7">
        <f>IF(OR($A273="",$F273=""),"",$F273&amp;"|"&amp;$C273)</f>
        <v/>
      </c>
      <c r="I273" s="7">
        <f>IF($H273="","",COUNTIF($H$4:$H273,$H273))</f>
        <v/>
      </c>
      <c r="J273" s="7">
        <f>IF($H273="","",$H273&amp;"|"&amp;$I273)</f>
        <v/>
      </c>
    </row>
    <row r="274">
      <c r="A274" s="8" t="n"/>
      <c r="B274" s="2">
        <f>IF($A274="","",IFERROR(INDEX(Listone!$B$2:$B$532,MATCH($A274,Listone!$A$2:$A$532,0)),"?"))</f>
        <v/>
      </c>
      <c r="C274" s="2">
        <f>IF($A274="","",IFERROR(INDEX(Listone!$C$2:$C$532,MATCH($A274,Listone!$A$2:$A$532,0)),""))</f>
        <v/>
      </c>
      <c r="D274" s="2">
        <f>IF($A274="","",IFERROR(INDEX(Listone!$D$2:$D$532,MATCH($A274,Listone!$A$2:$A$532,0)),""))</f>
        <v/>
      </c>
      <c r="E274" s="2">
        <f>IF($A274="","",IFERROR(INDEX(Listone!$G$2:$G$532,MATCH($A274,Listone!$A$2:$A$532,0)),""))</f>
        <v/>
      </c>
      <c r="F274" s="8" t="n"/>
      <c r="G274" s="8" t="n"/>
      <c r="H274" s="7">
        <f>IF(OR($A274="",$F274=""),"",$F274&amp;"|"&amp;$C274)</f>
        <v/>
      </c>
      <c r="I274" s="7">
        <f>IF($H274="","",COUNTIF($H$4:$H274,$H274))</f>
        <v/>
      </c>
      <c r="J274" s="7">
        <f>IF($H274="","",$H274&amp;"|"&amp;$I274)</f>
        <v/>
      </c>
    </row>
    <row r="275">
      <c r="A275" s="8" t="n"/>
      <c r="B275" s="2">
        <f>IF($A275="","",IFERROR(INDEX(Listone!$B$2:$B$532,MATCH($A275,Listone!$A$2:$A$532,0)),"?"))</f>
        <v/>
      </c>
      <c r="C275" s="2">
        <f>IF($A275="","",IFERROR(INDEX(Listone!$C$2:$C$532,MATCH($A275,Listone!$A$2:$A$532,0)),""))</f>
        <v/>
      </c>
      <c r="D275" s="2">
        <f>IF($A275="","",IFERROR(INDEX(Listone!$D$2:$D$532,MATCH($A275,Listone!$A$2:$A$532,0)),""))</f>
        <v/>
      </c>
      <c r="E275" s="2">
        <f>IF($A275="","",IFERROR(INDEX(Listone!$G$2:$G$532,MATCH($A275,Listone!$A$2:$A$532,0)),""))</f>
        <v/>
      </c>
      <c r="F275" s="8" t="n"/>
      <c r="G275" s="8" t="n"/>
      <c r="H275" s="7">
        <f>IF(OR($A275="",$F275=""),"",$F275&amp;"|"&amp;$C275)</f>
        <v/>
      </c>
      <c r="I275" s="7">
        <f>IF($H275="","",COUNTIF($H$4:$H275,$H275))</f>
        <v/>
      </c>
      <c r="J275" s="7">
        <f>IF($H275="","",$H275&amp;"|"&amp;$I275)</f>
        <v/>
      </c>
    </row>
    <row r="276">
      <c r="A276" s="8" t="n"/>
      <c r="B276" s="2">
        <f>IF($A276="","",IFERROR(INDEX(Listone!$B$2:$B$532,MATCH($A276,Listone!$A$2:$A$532,0)),"?"))</f>
        <v/>
      </c>
      <c r="C276" s="2">
        <f>IF($A276="","",IFERROR(INDEX(Listone!$C$2:$C$532,MATCH($A276,Listone!$A$2:$A$532,0)),""))</f>
        <v/>
      </c>
      <c r="D276" s="2">
        <f>IF($A276="","",IFERROR(INDEX(Listone!$D$2:$D$532,MATCH($A276,Listone!$A$2:$A$532,0)),""))</f>
        <v/>
      </c>
      <c r="E276" s="2">
        <f>IF($A276="","",IFERROR(INDEX(Listone!$G$2:$G$532,MATCH($A276,Listone!$A$2:$A$532,0)),""))</f>
        <v/>
      </c>
      <c r="F276" s="8" t="n"/>
      <c r="G276" s="8" t="n"/>
      <c r="H276" s="7">
        <f>IF(OR($A276="",$F276=""),"",$F276&amp;"|"&amp;$C276)</f>
        <v/>
      </c>
      <c r="I276" s="7">
        <f>IF($H276="","",COUNTIF($H$4:$H276,$H276))</f>
        <v/>
      </c>
      <c r="J276" s="7">
        <f>IF($H276="","",$H276&amp;"|"&amp;$I276)</f>
        <v/>
      </c>
    </row>
    <row r="277">
      <c r="A277" s="8" t="n"/>
      <c r="B277" s="2">
        <f>IF($A277="","",IFERROR(INDEX(Listone!$B$2:$B$532,MATCH($A277,Listone!$A$2:$A$532,0)),"?"))</f>
        <v/>
      </c>
      <c r="C277" s="2">
        <f>IF($A277="","",IFERROR(INDEX(Listone!$C$2:$C$532,MATCH($A277,Listone!$A$2:$A$532,0)),""))</f>
        <v/>
      </c>
      <c r="D277" s="2">
        <f>IF($A277="","",IFERROR(INDEX(Listone!$D$2:$D$532,MATCH($A277,Listone!$A$2:$A$532,0)),""))</f>
        <v/>
      </c>
      <c r="E277" s="2">
        <f>IF($A277="","",IFERROR(INDEX(Listone!$G$2:$G$532,MATCH($A277,Listone!$A$2:$A$532,0)),""))</f>
        <v/>
      </c>
      <c r="F277" s="8" t="n"/>
      <c r="G277" s="8" t="n"/>
      <c r="H277" s="7">
        <f>IF(OR($A277="",$F277=""),"",$F277&amp;"|"&amp;$C277)</f>
        <v/>
      </c>
      <c r="I277" s="7">
        <f>IF($H277="","",COUNTIF($H$4:$H277,$H277))</f>
        <v/>
      </c>
      <c r="J277" s="7">
        <f>IF($H277="","",$H277&amp;"|"&amp;$I277)</f>
        <v/>
      </c>
    </row>
    <row r="278">
      <c r="A278" s="8" t="n"/>
      <c r="B278" s="2">
        <f>IF($A278="","",IFERROR(INDEX(Listone!$B$2:$B$532,MATCH($A278,Listone!$A$2:$A$532,0)),"?"))</f>
        <v/>
      </c>
      <c r="C278" s="2">
        <f>IF($A278="","",IFERROR(INDEX(Listone!$C$2:$C$532,MATCH($A278,Listone!$A$2:$A$532,0)),""))</f>
        <v/>
      </c>
      <c r="D278" s="2">
        <f>IF($A278="","",IFERROR(INDEX(Listone!$D$2:$D$532,MATCH($A278,Listone!$A$2:$A$532,0)),""))</f>
        <v/>
      </c>
      <c r="E278" s="2">
        <f>IF($A278="","",IFERROR(INDEX(Listone!$G$2:$G$532,MATCH($A278,Listone!$A$2:$A$532,0)),""))</f>
        <v/>
      </c>
      <c r="F278" s="8" t="n"/>
      <c r="G278" s="8" t="n"/>
      <c r="H278" s="7">
        <f>IF(OR($A278="",$F278=""),"",$F278&amp;"|"&amp;$C278)</f>
        <v/>
      </c>
      <c r="I278" s="7">
        <f>IF($H278="","",COUNTIF($H$4:$H278,$H278))</f>
        <v/>
      </c>
      <c r="J278" s="7">
        <f>IF($H278="","",$H278&amp;"|"&amp;$I278)</f>
        <v/>
      </c>
    </row>
    <row r="279">
      <c r="A279" s="8" t="n"/>
      <c r="B279" s="2">
        <f>IF($A279="","",IFERROR(INDEX(Listone!$B$2:$B$532,MATCH($A279,Listone!$A$2:$A$532,0)),"?"))</f>
        <v/>
      </c>
      <c r="C279" s="2">
        <f>IF($A279="","",IFERROR(INDEX(Listone!$C$2:$C$532,MATCH($A279,Listone!$A$2:$A$532,0)),""))</f>
        <v/>
      </c>
      <c r="D279" s="2">
        <f>IF($A279="","",IFERROR(INDEX(Listone!$D$2:$D$532,MATCH($A279,Listone!$A$2:$A$532,0)),""))</f>
        <v/>
      </c>
      <c r="E279" s="2">
        <f>IF($A279="","",IFERROR(INDEX(Listone!$G$2:$G$532,MATCH($A279,Listone!$A$2:$A$532,0)),""))</f>
        <v/>
      </c>
      <c r="F279" s="8" t="n"/>
      <c r="G279" s="8" t="n"/>
      <c r="H279" s="7">
        <f>IF(OR($A279="",$F279=""),"",$F279&amp;"|"&amp;$C279)</f>
        <v/>
      </c>
      <c r="I279" s="7">
        <f>IF($H279="","",COUNTIF($H$4:$H279,$H279))</f>
        <v/>
      </c>
      <c r="J279" s="7">
        <f>IF($H279="","",$H279&amp;"|"&amp;$I279)</f>
        <v/>
      </c>
    </row>
    <row r="280">
      <c r="A280" s="8" t="n"/>
      <c r="B280" s="2">
        <f>IF($A280="","",IFERROR(INDEX(Listone!$B$2:$B$532,MATCH($A280,Listone!$A$2:$A$532,0)),"?"))</f>
        <v/>
      </c>
      <c r="C280" s="2">
        <f>IF($A280="","",IFERROR(INDEX(Listone!$C$2:$C$532,MATCH($A280,Listone!$A$2:$A$532,0)),""))</f>
        <v/>
      </c>
      <c r="D280" s="2">
        <f>IF($A280="","",IFERROR(INDEX(Listone!$D$2:$D$532,MATCH($A280,Listone!$A$2:$A$532,0)),""))</f>
        <v/>
      </c>
      <c r="E280" s="2">
        <f>IF($A280="","",IFERROR(INDEX(Listone!$G$2:$G$532,MATCH($A280,Listone!$A$2:$A$532,0)),""))</f>
        <v/>
      </c>
      <c r="F280" s="8" t="n"/>
      <c r="G280" s="8" t="n"/>
      <c r="H280" s="7">
        <f>IF(OR($A280="",$F280=""),"",$F280&amp;"|"&amp;$C280)</f>
        <v/>
      </c>
      <c r="I280" s="7">
        <f>IF($H280="","",COUNTIF($H$4:$H280,$H280))</f>
        <v/>
      </c>
      <c r="J280" s="7">
        <f>IF($H280="","",$H280&amp;"|"&amp;$I280)</f>
        <v/>
      </c>
    </row>
    <row r="281">
      <c r="A281" s="8" t="n"/>
      <c r="B281" s="2">
        <f>IF($A281="","",IFERROR(INDEX(Listone!$B$2:$B$532,MATCH($A281,Listone!$A$2:$A$532,0)),"?"))</f>
        <v/>
      </c>
      <c r="C281" s="2">
        <f>IF($A281="","",IFERROR(INDEX(Listone!$C$2:$C$532,MATCH($A281,Listone!$A$2:$A$532,0)),""))</f>
        <v/>
      </c>
      <c r="D281" s="2">
        <f>IF($A281="","",IFERROR(INDEX(Listone!$D$2:$D$532,MATCH($A281,Listone!$A$2:$A$532,0)),""))</f>
        <v/>
      </c>
      <c r="E281" s="2">
        <f>IF($A281="","",IFERROR(INDEX(Listone!$G$2:$G$532,MATCH($A281,Listone!$A$2:$A$532,0)),""))</f>
        <v/>
      </c>
      <c r="F281" s="8" t="n"/>
      <c r="G281" s="8" t="n"/>
      <c r="H281" s="7">
        <f>IF(OR($A281="",$F281=""),"",$F281&amp;"|"&amp;$C281)</f>
        <v/>
      </c>
      <c r="I281" s="7">
        <f>IF($H281="","",COUNTIF($H$4:$H281,$H281))</f>
        <v/>
      </c>
      <c r="J281" s="7">
        <f>IF($H281="","",$H281&amp;"|"&amp;$I281)</f>
        <v/>
      </c>
    </row>
    <row r="282">
      <c r="A282" s="8" t="n"/>
      <c r="B282" s="2">
        <f>IF($A282="","",IFERROR(INDEX(Listone!$B$2:$B$532,MATCH($A282,Listone!$A$2:$A$532,0)),"?"))</f>
        <v/>
      </c>
      <c r="C282" s="2">
        <f>IF($A282="","",IFERROR(INDEX(Listone!$C$2:$C$532,MATCH($A282,Listone!$A$2:$A$532,0)),""))</f>
        <v/>
      </c>
      <c r="D282" s="2">
        <f>IF($A282="","",IFERROR(INDEX(Listone!$D$2:$D$532,MATCH($A282,Listone!$A$2:$A$532,0)),""))</f>
        <v/>
      </c>
      <c r="E282" s="2">
        <f>IF($A282="","",IFERROR(INDEX(Listone!$G$2:$G$532,MATCH($A282,Listone!$A$2:$A$532,0)),""))</f>
        <v/>
      </c>
      <c r="F282" s="8" t="n"/>
      <c r="G282" s="8" t="n"/>
      <c r="H282" s="7">
        <f>IF(OR($A282="",$F282=""),"",$F282&amp;"|"&amp;$C282)</f>
        <v/>
      </c>
      <c r="I282" s="7">
        <f>IF($H282="","",COUNTIF($H$4:$H282,$H282))</f>
        <v/>
      </c>
      <c r="J282" s="7">
        <f>IF($H282="","",$H282&amp;"|"&amp;$I282)</f>
        <v/>
      </c>
    </row>
    <row r="283">
      <c r="A283" s="8" t="n"/>
      <c r="B283" s="2">
        <f>IF($A283="","",IFERROR(INDEX(Listone!$B$2:$B$532,MATCH($A283,Listone!$A$2:$A$532,0)),"?"))</f>
        <v/>
      </c>
      <c r="C283" s="2">
        <f>IF($A283="","",IFERROR(INDEX(Listone!$C$2:$C$532,MATCH($A283,Listone!$A$2:$A$532,0)),""))</f>
        <v/>
      </c>
      <c r="D283" s="2">
        <f>IF($A283="","",IFERROR(INDEX(Listone!$D$2:$D$532,MATCH($A283,Listone!$A$2:$A$532,0)),""))</f>
        <v/>
      </c>
      <c r="E283" s="2">
        <f>IF($A283="","",IFERROR(INDEX(Listone!$G$2:$G$532,MATCH($A283,Listone!$A$2:$A$532,0)),""))</f>
        <v/>
      </c>
      <c r="F283" s="8" t="n"/>
      <c r="G283" s="8" t="n"/>
      <c r="H283" s="7">
        <f>IF(OR($A283="",$F283=""),"",$F283&amp;"|"&amp;$C283)</f>
        <v/>
      </c>
      <c r="I283" s="7">
        <f>IF($H283="","",COUNTIF($H$4:$H283,$H283))</f>
        <v/>
      </c>
      <c r="J283" s="7">
        <f>IF($H283="","",$H283&amp;"|"&amp;$I283)</f>
        <v/>
      </c>
    </row>
    <row r="284">
      <c r="A284" s="8" t="n"/>
      <c r="B284" s="2">
        <f>IF($A284="","",IFERROR(INDEX(Listone!$B$2:$B$532,MATCH($A284,Listone!$A$2:$A$532,0)),"?"))</f>
        <v/>
      </c>
      <c r="C284" s="2">
        <f>IF($A284="","",IFERROR(INDEX(Listone!$C$2:$C$532,MATCH($A284,Listone!$A$2:$A$532,0)),""))</f>
        <v/>
      </c>
      <c r="D284" s="2">
        <f>IF($A284="","",IFERROR(INDEX(Listone!$D$2:$D$532,MATCH($A284,Listone!$A$2:$A$532,0)),""))</f>
        <v/>
      </c>
      <c r="E284" s="2">
        <f>IF($A284="","",IFERROR(INDEX(Listone!$G$2:$G$532,MATCH($A284,Listone!$A$2:$A$532,0)),""))</f>
        <v/>
      </c>
      <c r="F284" s="8" t="n"/>
      <c r="G284" s="8" t="n"/>
      <c r="H284" s="7">
        <f>IF(OR($A284="",$F284=""),"",$F284&amp;"|"&amp;$C284)</f>
        <v/>
      </c>
      <c r="I284" s="7">
        <f>IF($H284="","",COUNTIF($H$4:$H284,$H284))</f>
        <v/>
      </c>
      <c r="J284" s="7">
        <f>IF($H284="","",$H284&amp;"|"&amp;$I284)</f>
        <v/>
      </c>
    </row>
    <row r="285">
      <c r="A285" s="8" t="n"/>
      <c r="B285" s="2">
        <f>IF($A285="","",IFERROR(INDEX(Listone!$B$2:$B$532,MATCH($A285,Listone!$A$2:$A$532,0)),"?"))</f>
        <v/>
      </c>
      <c r="C285" s="2">
        <f>IF($A285="","",IFERROR(INDEX(Listone!$C$2:$C$532,MATCH($A285,Listone!$A$2:$A$532,0)),""))</f>
        <v/>
      </c>
      <c r="D285" s="2">
        <f>IF($A285="","",IFERROR(INDEX(Listone!$D$2:$D$532,MATCH($A285,Listone!$A$2:$A$532,0)),""))</f>
        <v/>
      </c>
      <c r="E285" s="2">
        <f>IF($A285="","",IFERROR(INDEX(Listone!$G$2:$G$532,MATCH($A285,Listone!$A$2:$A$532,0)),""))</f>
        <v/>
      </c>
      <c r="F285" s="8" t="n"/>
      <c r="G285" s="8" t="n"/>
      <c r="H285" s="7">
        <f>IF(OR($A285="",$F285=""),"",$F285&amp;"|"&amp;$C285)</f>
        <v/>
      </c>
      <c r="I285" s="7">
        <f>IF($H285="","",COUNTIF($H$4:$H285,$H285))</f>
        <v/>
      </c>
      <c r="J285" s="7">
        <f>IF($H285="","",$H285&amp;"|"&amp;$I285)</f>
        <v/>
      </c>
    </row>
    <row r="286">
      <c r="A286" s="8" t="n"/>
      <c r="B286" s="2">
        <f>IF($A286="","",IFERROR(INDEX(Listone!$B$2:$B$532,MATCH($A286,Listone!$A$2:$A$532,0)),"?"))</f>
        <v/>
      </c>
      <c r="C286" s="2">
        <f>IF($A286="","",IFERROR(INDEX(Listone!$C$2:$C$532,MATCH($A286,Listone!$A$2:$A$532,0)),""))</f>
        <v/>
      </c>
      <c r="D286" s="2">
        <f>IF($A286="","",IFERROR(INDEX(Listone!$D$2:$D$532,MATCH($A286,Listone!$A$2:$A$532,0)),""))</f>
        <v/>
      </c>
      <c r="E286" s="2">
        <f>IF($A286="","",IFERROR(INDEX(Listone!$G$2:$G$532,MATCH($A286,Listone!$A$2:$A$532,0)),""))</f>
        <v/>
      </c>
      <c r="F286" s="8" t="n"/>
      <c r="G286" s="8" t="n"/>
      <c r="H286" s="7">
        <f>IF(OR($A286="",$F286=""),"",$F286&amp;"|"&amp;$C286)</f>
        <v/>
      </c>
      <c r="I286" s="7">
        <f>IF($H286="","",COUNTIF($H$4:$H286,$H286))</f>
        <v/>
      </c>
      <c r="J286" s="7">
        <f>IF($H286="","",$H286&amp;"|"&amp;$I286)</f>
        <v/>
      </c>
    </row>
    <row r="287">
      <c r="A287" s="8" t="n"/>
      <c r="B287" s="2">
        <f>IF($A287="","",IFERROR(INDEX(Listone!$B$2:$B$532,MATCH($A287,Listone!$A$2:$A$532,0)),"?"))</f>
        <v/>
      </c>
      <c r="C287" s="2">
        <f>IF($A287="","",IFERROR(INDEX(Listone!$C$2:$C$532,MATCH($A287,Listone!$A$2:$A$532,0)),""))</f>
        <v/>
      </c>
      <c r="D287" s="2">
        <f>IF($A287="","",IFERROR(INDEX(Listone!$D$2:$D$532,MATCH($A287,Listone!$A$2:$A$532,0)),""))</f>
        <v/>
      </c>
      <c r="E287" s="2">
        <f>IF($A287="","",IFERROR(INDEX(Listone!$G$2:$G$532,MATCH($A287,Listone!$A$2:$A$532,0)),""))</f>
        <v/>
      </c>
      <c r="F287" s="8" t="n"/>
      <c r="G287" s="8" t="n"/>
      <c r="H287" s="7">
        <f>IF(OR($A287="",$F287=""),"",$F287&amp;"|"&amp;$C287)</f>
        <v/>
      </c>
      <c r="I287" s="7">
        <f>IF($H287="","",COUNTIF($H$4:$H287,$H287))</f>
        <v/>
      </c>
      <c r="J287" s="7">
        <f>IF($H287="","",$H287&amp;"|"&amp;$I287)</f>
        <v/>
      </c>
    </row>
    <row r="288">
      <c r="A288" s="8" t="n"/>
      <c r="B288" s="2">
        <f>IF($A288="","",IFERROR(INDEX(Listone!$B$2:$B$532,MATCH($A288,Listone!$A$2:$A$532,0)),"?"))</f>
        <v/>
      </c>
      <c r="C288" s="2">
        <f>IF($A288="","",IFERROR(INDEX(Listone!$C$2:$C$532,MATCH($A288,Listone!$A$2:$A$532,0)),""))</f>
        <v/>
      </c>
      <c r="D288" s="2">
        <f>IF($A288="","",IFERROR(INDEX(Listone!$D$2:$D$532,MATCH($A288,Listone!$A$2:$A$532,0)),""))</f>
        <v/>
      </c>
      <c r="E288" s="2">
        <f>IF($A288="","",IFERROR(INDEX(Listone!$G$2:$G$532,MATCH($A288,Listone!$A$2:$A$532,0)),""))</f>
        <v/>
      </c>
      <c r="F288" s="8" t="n"/>
      <c r="G288" s="8" t="n"/>
      <c r="H288" s="7">
        <f>IF(OR($A288="",$F288=""),"",$F288&amp;"|"&amp;$C288)</f>
        <v/>
      </c>
      <c r="I288" s="7">
        <f>IF($H288="","",COUNTIF($H$4:$H288,$H288))</f>
        <v/>
      </c>
      <c r="J288" s="7">
        <f>IF($H288="","",$H288&amp;"|"&amp;$I288)</f>
        <v/>
      </c>
    </row>
    <row r="289">
      <c r="A289" s="8" t="n"/>
      <c r="B289" s="2">
        <f>IF($A289="","",IFERROR(INDEX(Listone!$B$2:$B$532,MATCH($A289,Listone!$A$2:$A$532,0)),"?"))</f>
        <v/>
      </c>
      <c r="C289" s="2">
        <f>IF($A289="","",IFERROR(INDEX(Listone!$C$2:$C$532,MATCH($A289,Listone!$A$2:$A$532,0)),""))</f>
        <v/>
      </c>
      <c r="D289" s="2">
        <f>IF($A289="","",IFERROR(INDEX(Listone!$D$2:$D$532,MATCH($A289,Listone!$A$2:$A$532,0)),""))</f>
        <v/>
      </c>
      <c r="E289" s="2">
        <f>IF($A289="","",IFERROR(INDEX(Listone!$G$2:$G$532,MATCH($A289,Listone!$A$2:$A$532,0)),""))</f>
        <v/>
      </c>
      <c r="F289" s="8" t="n"/>
      <c r="G289" s="8" t="n"/>
      <c r="H289" s="7">
        <f>IF(OR($A289="",$F289=""),"",$F289&amp;"|"&amp;$C289)</f>
        <v/>
      </c>
      <c r="I289" s="7">
        <f>IF($H289="","",COUNTIF($H$4:$H289,$H289))</f>
        <v/>
      </c>
      <c r="J289" s="7">
        <f>IF($H289="","",$H289&amp;"|"&amp;$I289)</f>
        <v/>
      </c>
    </row>
    <row r="290">
      <c r="A290" s="8" t="n"/>
      <c r="B290" s="2">
        <f>IF($A290="","",IFERROR(INDEX(Listone!$B$2:$B$532,MATCH($A290,Listone!$A$2:$A$532,0)),"?"))</f>
        <v/>
      </c>
      <c r="C290" s="2">
        <f>IF($A290="","",IFERROR(INDEX(Listone!$C$2:$C$532,MATCH($A290,Listone!$A$2:$A$532,0)),""))</f>
        <v/>
      </c>
      <c r="D290" s="2">
        <f>IF($A290="","",IFERROR(INDEX(Listone!$D$2:$D$532,MATCH($A290,Listone!$A$2:$A$532,0)),""))</f>
        <v/>
      </c>
      <c r="E290" s="2">
        <f>IF($A290="","",IFERROR(INDEX(Listone!$G$2:$G$532,MATCH($A290,Listone!$A$2:$A$532,0)),""))</f>
        <v/>
      </c>
      <c r="F290" s="8" t="n"/>
      <c r="G290" s="8" t="n"/>
      <c r="H290" s="7">
        <f>IF(OR($A290="",$F290=""),"",$F290&amp;"|"&amp;$C290)</f>
        <v/>
      </c>
      <c r="I290" s="7">
        <f>IF($H290="","",COUNTIF($H$4:$H290,$H290))</f>
        <v/>
      </c>
      <c r="J290" s="7">
        <f>IF($H290="","",$H290&amp;"|"&amp;$I290)</f>
        <v/>
      </c>
    </row>
    <row r="291">
      <c r="A291" s="8" t="n"/>
      <c r="B291" s="2">
        <f>IF($A291="","",IFERROR(INDEX(Listone!$B$2:$B$532,MATCH($A291,Listone!$A$2:$A$532,0)),"?"))</f>
        <v/>
      </c>
      <c r="C291" s="2">
        <f>IF($A291="","",IFERROR(INDEX(Listone!$C$2:$C$532,MATCH($A291,Listone!$A$2:$A$532,0)),""))</f>
        <v/>
      </c>
      <c r="D291" s="2">
        <f>IF($A291="","",IFERROR(INDEX(Listone!$D$2:$D$532,MATCH($A291,Listone!$A$2:$A$532,0)),""))</f>
        <v/>
      </c>
      <c r="E291" s="2">
        <f>IF($A291="","",IFERROR(INDEX(Listone!$G$2:$G$532,MATCH($A291,Listone!$A$2:$A$532,0)),""))</f>
        <v/>
      </c>
      <c r="F291" s="8" t="n"/>
      <c r="G291" s="8" t="n"/>
      <c r="H291" s="7">
        <f>IF(OR($A291="",$F291=""),"",$F291&amp;"|"&amp;$C291)</f>
        <v/>
      </c>
      <c r="I291" s="7">
        <f>IF($H291="","",COUNTIF($H$4:$H291,$H291))</f>
        <v/>
      </c>
      <c r="J291" s="7">
        <f>IF($H291="","",$H291&amp;"|"&amp;$I291)</f>
        <v/>
      </c>
    </row>
    <row r="292">
      <c r="A292" s="8" t="n"/>
      <c r="B292" s="2">
        <f>IF($A292="","",IFERROR(INDEX(Listone!$B$2:$B$532,MATCH($A292,Listone!$A$2:$A$532,0)),"?"))</f>
        <v/>
      </c>
      <c r="C292" s="2">
        <f>IF($A292="","",IFERROR(INDEX(Listone!$C$2:$C$532,MATCH($A292,Listone!$A$2:$A$532,0)),""))</f>
        <v/>
      </c>
      <c r="D292" s="2">
        <f>IF($A292="","",IFERROR(INDEX(Listone!$D$2:$D$532,MATCH($A292,Listone!$A$2:$A$532,0)),""))</f>
        <v/>
      </c>
      <c r="E292" s="2">
        <f>IF($A292="","",IFERROR(INDEX(Listone!$G$2:$G$532,MATCH($A292,Listone!$A$2:$A$532,0)),""))</f>
        <v/>
      </c>
      <c r="F292" s="8" t="n"/>
      <c r="G292" s="8" t="n"/>
      <c r="H292" s="7">
        <f>IF(OR($A292="",$F292=""),"",$F292&amp;"|"&amp;$C292)</f>
        <v/>
      </c>
      <c r="I292" s="7">
        <f>IF($H292="","",COUNTIF($H$4:$H292,$H292))</f>
        <v/>
      </c>
      <c r="J292" s="7">
        <f>IF($H292="","",$H292&amp;"|"&amp;$I292)</f>
        <v/>
      </c>
    </row>
    <row r="293">
      <c r="A293" s="8" t="n"/>
      <c r="B293" s="2">
        <f>IF($A293="","",IFERROR(INDEX(Listone!$B$2:$B$532,MATCH($A293,Listone!$A$2:$A$532,0)),"?"))</f>
        <v/>
      </c>
      <c r="C293" s="2">
        <f>IF($A293="","",IFERROR(INDEX(Listone!$C$2:$C$532,MATCH($A293,Listone!$A$2:$A$532,0)),""))</f>
        <v/>
      </c>
      <c r="D293" s="2">
        <f>IF($A293="","",IFERROR(INDEX(Listone!$D$2:$D$532,MATCH($A293,Listone!$A$2:$A$532,0)),""))</f>
        <v/>
      </c>
      <c r="E293" s="2">
        <f>IF($A293="","",IFERROR(INDEX(Listone!$G$2:$G$532,MATCH($A293,Listone!$A$2:$A$532,0)),""))</f>
        <v/>
      </c>
      <c r="F293" s="8" t="n"/>
      <c r="G293" s="8" t="n"/>
      <c r="H293" s="7">
        <f>IF(OR($A293="",$F293=""),"",$F293&amp;"|"&amp;$C293)</f>
        <v/>
      </c>
      <c r="I293" s="7">
        <f>IF($H293="","",COUNTIF($H$4:$H293,$H293))</f>
        <v/>
      </c>
      <c r="J293" s="7">
        <f>IF($H293="","",$H293&amp;"|"&amp;$I293)</f>
        <v/>
      </c>
    </row>
    <row r="294">
      <c r="A294" s="8" t="n"/>
      <c r="B294" s="2">
        <f>IF($A294="","",IFERROR(INDEX(Listone!$B$2:$B$532,MATCH($A294,Listone!$A$2:$A$532,0)),"?"))</f>
        <v/>
      </c>
      <c r="C294" s="2">
        <f>IF($A294="","",IFERROR(INDEX(Listone!$C$2:$C$532,MATCH($A294,Listone!$A$2:$A$532,0)),""))</f>
        <v/>
      </c>
      <c r="D294" s="2">
        <f>IF($A294="","",IFERROR(INDEX(Listone!$D$2:$D$532,MATCH($A294,Listone!$A$2:$A$532,0)),""))</f>
        <v/>
      </c>
      <c r="E294" s="2">
        <f>IF($A294="","",IFERROR(INDEX(Listone!$G$2:$G$532,MATCH($A294,Listone!$A$2:$A$532,0)),""))</f>
        <v/>
      </c>
      <c r="F294" s="8" t="n"/>
      <c r="G294" s="8" t="n"/>
      <c r="H294" s="7">
        <f>IF(OR($A294="",$F294=""),"",$F294&amp;"|"&amp;$C294)</f>
        <v/>
      </c>
      <c r="I294" s="7">
        <f>IF($H294="","",COUNTIF($H$4:$H294,$H294))</f>
        <v/>
      </c>
      <c r="J294" s="7">
        <f>IF($H294="","",$H294&amp;"|"&amp;$I294)</f>
        <v/>
      </c>
    </row>
    <row r="295">
      <c r="A295" s="8" t="n"/>
      <c r="B295" s="2">
        <f>IF($A295="","",IFERROR(INDEX(Listone!$B$2:$B$532,MATCH($A295,Listone!$A$2:$A$532,0)),"?"))</f>
        <v/>
      </c>
      <c r="C295" s="2">
        <f>IF($A295="","",IFERROR(INDEX(Listone!$C$2:$C$532,MATCH($A295,Listone!$A$2:$A$532,0)),""))</f>
        <v/>
      </c>
      <c r="D295" s="2">
        <f>IF($A295="","",IFERROR(INDEX(Listone!$D$2:$D$532,MATCH($A295,Listone!$A$2:$A$532,0)),""))</f>
        <v/>
      </c>
      <c r="E295" s="2">
        <f>IF($A295="","",IFERROR(INDEX(Listone!$G$2:$G$532,MATCH($A295,Listone!$A$2:$A$532,0)),""))</f>
        <v/>
      </c>
      <c r="F295" s="8" t="n"/>
      <c r="G295" s="8" t="n"/>
      <c r="H295" s="7">
        <f>IF(OR($A295="",$F295=""),"",$F295&amp;"|"&amp;$C295)</f>
        <v/>
      </c>
      <c r="I295" s="7">
        <f>IF($H295="","",COUNTIF($H$4:$H295,$H295))</f>
        <v/>
      </c>
      <c r="J295" s="7">
        <f>IF($H295="","",$H295&amp;"|"&amp;$I295)</f>
        <v/>
      </c>
    </row>
    <row r="296">
      <c r="A296" s="8" t="n"/>
      <c r="B296" s="2">
        <f>IF($A296="","",IFERROR(INDEX(Listone!$B$2:$B$532,MATCH($A296,Listone!$A$2:$A$532,0)),"?"))</f>
        <v/>
      </c>
      <c r="C296" s="2">
        <f>IF($A296="","",IFERROR(INDEX(Listone!$C$2:$C$532,MATCH($A296,Listone!$A$2:$A$532,0)),""))</f>
        <v/>
      </c>
      <c r="D296" s="2">
        <f>IF($A296="","",IFERROR(INDEX(Listone!$D$2:$D$532,MATCH($A296,Listone!$A$2:$A$532,0)),""))</f>
        <v/>
      </c>
      <c r="E296" s="2">
        <f>IF($A296="","",IFERROR(INDEX(Listone!$G$2:$G$532,MATCH($A296,Listone!$A$2:$A$532,0)),""))</f>
        <v/>
      </c>
      <c r="F296" s="8" t="n"/>
      <c r="G296" s="8" t="n"/>
      <c r="H296" s="7">
        <f>IF(OR($A296="",$F296=""),"",$F296&amp;"|"&amp;$C296)</f>
        <v/>
      </c>
      <c r="I296" s="7">
        <f>IF($H296="","",COUNTIF($H$4:$H296,$H296))</f>
        <v/>
      </c>
      <c r="J296" s="7">
        <f>IF($H296="","",$H296&amp;"|"&amp;$I296)</f>
        <v/>
      </c>
    </row>
    <row r="297">
      <c r="A297" s="8" t="n"/>
      <c r="B297" s="2">
        <f>IF($A297="","",IFERROR(INDEX(Listone!$B$2:$B$532,MATCH($A297,Listone!$A$2:$A$532,0)),"?"))</f>
        <v/>
      </c>
      <c r="C297" s="2">
        <f>IF($A297="","",IFERROR(INDEX(Listone!$C$2:$C$532,MATCH($A297,Listone!$A$2:$A$532,0)),""))</f>
        <v/>
      </c>
      <c r="D297" s="2">
        <f>IF($A297="","",IFERROR(INDEX(Listone!$D$2:$D$532,MATCH($A297,Listone!$A$2:$A$532,0)),""))</f>
        <v/>
      </c>
      <c r="E297" s="2">
        <f>IF($A297="","",IFERROR(INDEX(Listone!$G$2:$G$532,MATCH($A297,Listone!$A$2:$A$532,0)),""))</f>
        <v/>
      </c>
      <c r="F297" s="8" t="n"/>
      <c r="G297" s="8" t="n"/>
      <c r="H297" s="7">
        <f>IF(OR($A297="",$F297=""),"",$F297&amp;"|"&amp;$C297)</f>
        <v/>
      </c>
      <c r="I297" s="7">
        <f>IF($H297="","",COUNTIF($H$4:$H297,$H297))</f>
        <v/>
      </c>
      <c r="J297" s="7">
        <f>IF($H297="","",$H297&amp;"|"&amp;$I297)</f>
        <v/>
      </c>
    </row>
    <row r="298">
      <c r="A298" s="8" t="n"/>
      <c r="B298" s="2">
        <f>IF($A298="","",IFERROR(INDEX(Listone!$B$2:$B$532,MATCH($A298,Listone!$A$2:$A$532,0)),"?"))</f>
        <v/>
      </c>
      <c r="C298" s="2">
        <f>IF($A298="","",IFERROR(INDEX(Listone!$C$2:$C$532,MATCH($A298,Listone!$A$2:$A$532,0)),""))</f>
        <v/>
      </c>
      <c r="D298" s="2">
        <f>IF($A298="","",IFERROR(INDEX(Listone!$D$2:$D$532,MATCH($A298,Listone!$A$2:$A$532,0)),""))</f>
        <v/>
      </c>
      <c r="E298" s="2">
        <f>IF($A298="","",IFERROR(INDEX(Listone!$G$2:$G$532,MATCH($A298,Listone!$A$2:$A$532,0)),""))</f>
        <v/>
      </c>
      <c r="F298" s="8" t="n"/>
      <c r="G298" s="8" t="n"/>
      <c r="H298" s="7">
        <f>IF(OR($A298="",$F298=""),"",$F298&amp;"|"&amp;$C298)</f>
        <v/>
      </c>
      <c r="I298" s="7">
        <f>IF($H298="","",COUNTIF($H$4:$H298,$H298))</f>
        <v/>
      </c>
      <c r="J298" s="7">
        <f>IF($H298="","",$H298&amp;"|"&amp;$I298)</f>
        <v/>
      </c>
    </row>
    <row r="299">
      <c r="A299" s="8" t="n"/>
      <c r="B299" s="2">
        <f>IF($A299="","",IFERROR(INDEX(Listone!$B$2:$B$532,MATCH($A299,Listone!$A$2:$A$532,0)),"?"))</f>
        <v/>
      </c>
      <c r="C299" s="2">
        <f>IF($A299="","",IFERROR(INDEX(Listone!$C$2:$C$532,MATCH($A299,Listone!$A$2:$A$532,0)),""))</f>
        <v/>
      </c>
      <c r="D299" s="2">
        <f>IF($A299="","",IFERROR(INDEX(Listone!$D$2:$D$532,MATCH($A299,Listone!$A$2:$A$532,0)),""))</f>
        <v/>
      </c>
      <c r="E299" s="2">
        <f>IF($A299="","",IFERROR(INDEX(Listone!$G$2:$G$532,MATCH($A299,Listone!$A$2:$A$532,0)),""))</f>
        <v/>
      </c>
      <c r="F299" s="8" t="n"/>
      <c r="G299" s="8" t="n"/>
      <c r="H299" s="7">
        <f>IF(OR($A299="",$F299=""),"",$F299&amp;"|"&amp;$C299)</f>
        <v/>
      </c>
      <c r="I299" s="7">
        <f>IF($H299="","",COUNTIF($H$4:$H299,$H299))</f>
        <v/>
      </c>
      <c r="J299" s="7">
        <f>IF($H299="","",$H299&amp;"|"&amp;$I299)</f>
        <v/>
      </c>
    </row>
    <row r="300">
      <c r="A300" s="8" t="n"/>
      <c r="B300" s="2">
        <f>IF($A300="","",IFERROR(INDEX(Listone!$B$2:$B$532,MATCH($A300,Listone!$A$2:$A$532,0)),"?"))</f>
        <v/>
      </c>
      <c r="C300" s="2">
        <f>IF($A300="","",IFERROR(INDEX(Listone!$C$2:$C$532,MATCH($A300,Listone!$A$2:$A$532,0)),""))</f>
        <v/>
      </c>
      <c r="D300" s="2">
        <f>IF($A300="","",IFERROR(INDEX(Listone!$D$2:$D$532,MATCH($A300,Listone!$A$2:$A$532,0)),""))</f>
        <v/>
      </c>
      <c r="E300" s="2">
        <f>IF($A300="","",IFERROR(INDEX(Listone!$G$2:$G$532,MATCH($A300,Listone!$A$2:$A$532,0)),""))</f>
        <v/>
      </c>
      <c r="F300" s="8" t="n"/>
      <c r="G300" s="8" t="n"/>
      <c r="H300" s="7">
        <f>IF(OR($A300="",$F300=""),"",$F300&amp;"|"&amp;$C300)</f>
        <v/>
      </c>
      <c r="I300" s="7">
        <f>IF($H300="","",COUNTIF($H$4:$H300,$H300))</f>
        <v/>
      </c>
      <c r="J300" s="7">
        <f>IF($H300="","",$H300&amp;"|"&amp;$I300)</f>
        <v/>
      </c>
    </row>
    <row r="301">
      <c r="A301" s="8" t="n"/>
      <c r="B301" s="2">
        <f>IF($A301="","",IFERROR(INDEX(Listone!$B$2:$B$532,MATCH($A301,Listone!$A$2:$A$532,0)),"?"))</f>
        <v/>
      </c>
      <c r="C301" s="2">
        <f>IF($A301="","",IFERROR(INDEX(Listone!$C$2:$C$532,MATCH($A301,Listone!$A$2:$A$532,0)),""))</f>
        <v/>
      </c>
      <c r="D301" s="2">
        <f>IF($A301="","",IFERROR(INDEX(Listone!$D$2:$D$532,MATCH($A301,Listone!$A$2:$A$532,0)),""))</f>
        <v/>
      </c>
      <c r="E301" s="2">
        <f>IF($A301="","",IFERROR(INDEX(Listone!$G$2:$G$532,MATCH($A301,Listone!$A$2:$A$532,0)),""))</f>
        <v/>
      </c>
      <c r="F301" s="8" t="n"/>
      <c r="G301" s="8" t="n"/>
      <c r="H301" s="7">
        <f>IF(OR($A301="",$F301=""),"",$F301&amp;"|"&amp;$C301)</f>
        <v/>
      </c>
      <c r="I301" s="7">
        <f>IF($H301="","",COUNTIF($H$4:$H301,$H301))</f>
        <v/>
      </c>
      <c r="J301" s="7">
        <f>IF($H301="","",$H301&amp;"|"&amp;$I301)</f>
        <v/>
      </c>
    </row>
    <row r="302">
      <c r="A302" s="8" t="n"/>
      <c r="B302" s="2">
        <f>IF($A302="","",IFERROR(INDEX(Listone!$B$2:$B$532,MATCH($A302,Listone!$A$2:$A$532,0)),"?"))</f>
        <v/>
      </c>
      <c r="C302" s="2">
        <f>IF($A302="","",IFERROR(INDEX(Listone!$C$2:$C$532,MATCH($A302,Listone!$A$2:$A$532,0)),""))</f>
        <v/>
      </c>
      <c r="D302" s="2">
        <f>IF($A302="","",IFERROR(INDEX(Listone!$D$2:$D$532,MATCH($A302,Listone!$A$2:$A$532,0)),""))</f>
        <v/>
      </c>
      <c r="E302" s="2">
        <f>IF($A302="","",IFERROR(INDEX(Listone!$G$2:$G$532,MATCH($A302,Listone!$A$2:$A$532,0)),""))</f>
        <v/>
      </c>
      <c r="F302" s="8" t="n"/>
      <c r="G302" s="8" t="n"/>
      <c r="H302" s="7">
        <f>IF(OR($A302="",$F302=""),"",$F302&amp;"|"&amp;$C302)</f>
        <v/>
      </c>
      <c r="I302" s="7">
        <f>IF($H302="","",COUNTIF($H$4:$H302,$H302))</f>
        <v/>
      </c>
      <c r="J302" s="7">
        <f>IF($H302="","",$H302&amp;"|"&amp;$I302)</f>
        <v/>
      </c>
    </row>
    <row r="303">
      <c r="A303" s="8" t="n"/>
      <c r="B303" s="2">
        <f>IF($A303="","",IFERROR(INDEX(Listone!$B$2:$B$532,MATCH($A303,Listone!$A$2:$A$532,0)),"?"))</f>
        <v/>
      </c>
      <c r="C303" s="2">
        <f>IF($A303="","",IFERROR(INDEX(Listone!$C$2:$C$532,MATCH($A303,Listone!$A$2:$A$532,0)),""))</f>
        <v/>
      </c>
      <c r="D303" s="2">
        <f>IF($A303="","",IFERROR(INDEX(Listone!$D$2:$D$532,MATCH($A303,Listone!$A$2:$A$532,0)),""))</f>
        <v/>
      </c>
      <c r="E303" s="2">
        <f>IF($A303="","",IFERROR(INDEX(Listone!$G$2:$G$532,MATCH($A303,Listone!$A$2:$A$532,0)),""))</f>
        <v/>
      </c>
      <c r="F303" s="8" t="n"/>
      <c r="G303" s="8" t="n"/>
      <c r="H303" s="7">
        <f>IF(OR($A303="",$F303=""),"",$F303&amp;"|"&amp;$C303)</f>
        <v/>
      </c>
      <c r="I303" s="7">
        <f>IF($H303="","",COUNTIF($H$4:$H303,$H303))</f>
        <v/>
      </c>
      <c r="J303" s="7">
        <f>IF($H303="","",$H303&amp;"|"&amp;$I303)</f>
        <v/>
      </c>
    </row>
    <row r="304">
      <c r="A304" s="8" t="n"/>
      <c r="B304" s="2">
        <f>IF($A304="","",IFERROR(INDEX(Listone!$B$2:$B$532,MATCH($A304,Listone!$A$2:$A$532,0)),"?"))</f>
        <v/>
      </c>
      <c r="C304" s="2">
        <f>IF($A304="","",IFERROR(INDEX(Listone!$C$2:$C$532,MATCH($A304,Listone!$A$2:$A$532,0)),""))</f>
        <v/>
      </c>
      <c r="D304" s="2">
        <f>IF($A304="","",IFERROR(INDEX(Listone!$D$2:$D$532,MATCH($A304,Listone!$A$2:$A$532,0)),""))</f>
        <v/>
      </c>
      <c r="E304" s="2">
        <f>IF($A304="","",IFERROR(INDEX(Listone!$G$2:$G$532,MATCH($A304,Listone!$A$2:$A$532,0)),""))</f>
        <v/>
      </c>
      <c r="F304" s="8" t="n"/>
      <c r="G304" s="8" t="n"/>
      <c r="H304" s="7">
        <f>IF(OR($A304="",$F304=""),"",$F304&amp;"|"&amp;$C304)</f>
        <v/>
      </c>
      <c r="I304" s="7">
        <f>IF($H304="","",COUNTIF($H$4:$H304,$H304))</f>
        <v/>
      </c>
      <c r="J304" s="7">
        <f>IF($H304="","",$H304&amp;"|"&amp;$I304)</f>
        <v/>
      </c>
    </row>
    <row r="305">
      <c r="A305" s="8" t="n"/>
      <c r="B305" s="2">
        <f>IF($A305="","",IFERROR(INDEX(Listone!$B$2:$B$532,MATCH($A305,Listone!$A$2:$A$532,0)),"?"))</f>
        <v/>
      </c>
      <c r="C305" s="2">
        <f>IF($A305="","",IFERROR(INDEX(Listone!$C$2:$C$532,MATCH($A305,Listone!$A$2:$A$532,0)),""))</f>
        <v/>
      </c>
      <c r="D305" s="2">
        <f>IF($A305="","",IFERROR(INDEX(Listone!$D$2:$D$532,MATCH($A305,Listone!$A$2:$A$532,0)),""))</f>
        <v/>
      </c>
      <c r="E305" s="2">
        <f>IF($A305="","",IFERROR(INDEX(Listone!$G$2:$G$532,MATCH($A305,Listone!$A$2:$A$532,0)),""))</f>
        <v/>
      </c>
      <c r="F305" s="8" t="n"/>
      <c r="G305" s="8" t="n"/>
      <c r="H305" s="7">
        <f>IF(OR($A305="",$F305=""),"",$F305&amp;"|"&amp;$C305)</f>
        <v/>
      </c>
      <c r="I305" s="7">
        <f>IF($H305="","",COUNTIF($H$4:$H305,$H305))</f>
        <v/>
      </c>
      <c r="J305" s="7">
        <f>IF($H305="","",$H305&amp;"|"&amp;$I305)</f>
        <v/>
      </c>
    </row>
    <row r="306">
      <c r="A306" s="8" t="n"/>
      <c r="B306" s="2">
        <f>IF($A306="","",IFERROR(INDEX(Listone!$B$2:$B$532,MATCH($A306,Listone!$A$2:$A$532,0)),"?"))</f>
        <v/>
      </c>
      <c r="C306" s="2">
        <f>IF($A306="","",IFERROR(INDEX(Listone!$C$2:$C$532,MATCH($A306,Listone!$A$2:$A$532,0)),""))</f>
        <v/>
      </c>
      <c r="D306" s="2">
        <f>IF($A306="","",IFERROR(INDEX(Listone!$D$2:$D$532,MATCH($A306,Listone!$A$2:$A$532,0)),""))</f>
        <v/>
      </c>
      <c r="E306" s="2">
        <f>IF($A306="","",IFERROR(INDEX(Listone!$G$2:$G$532,MATCH($A306,Listone!$A$2:$A$532,0)),""))</f>
        <v/>
      </c>
      <c r="F306" s="8" t="n"/>
      <c r="G306" s="8" t="n"/>
      <c r="H306" s="7">
        <f>IF(OR($A306="",$F306=""),"",$F306&amp;"|"&amp;$C306)</f>
        <v/>
      </c>
      <c r="I306" s="7">
        <f>IF($H306="","",COUNTIF($H$4:$H306,$H306))</f>
        <v/>
      </c>
      <c r="J306" s="7">
        <f>IF($H306="","",$H306&amp;"|"&amp;$I306)</f>
        <v/>
      </c>
    </row>
    <row r="307">
      <c r="A307" s="8" t="n"/>
      <c r="B307" s="2">
        <f>IF($A307="","",IFERROR(INDEX(Listone!$B$2:$B$532,MATCH($A307,Listone!$A$2:$A$532,0)),"?"))</f>
        <v/>
      </c>
      <c r="C307" s="2">
        <f>IF($A307="","",IFERROR(INDEX(Listone!$C$2:$C$532,MATCH($A307,Listone!$A$2:$A$532,0)),""))</f>
        <v/>
      </c>
      <c r="D307" s="2">
        <f>IF($A307="","",IFERROR(INDEX(Listone!$D$2:$D$532,MATCH($A307,Listone!$A$2:$A$532,0)),""))</f>
        <v/>
      </c>
      <c r="E307" s="2">
        <f>IF($A307="","",IFERROR(INDEX(Listone!$G$2:$G$532,MATCH($A307,Listone!$A$2:$A$532,0)),""))</f>
        <v/>
      </c>
      <c r="F307" s="8" t="n"/>
      <c r="G307" s="8" t="n"/>
      <c r="H307" s="7">
        <f>IF(OR($A307="",$F307=""),"",$F307&amp;"|"&amp;$C307)</f>
        <v/>
      </c>
      <c r="I307" s="7">
        <f>IF($H307="","",COUNTIF($H$4:$H307,$H307))</f>
        <v/>
      </c>
      <c r="J307" s="7">
        <f>IF($H307="","",$H307&amp;"|"&amp;$I307)</f>
        <v/>
      </c>
    </row>
    <row r="308">
      <c r="A308" s="8" t="n"/>
      <c r="B308" s="2">
        <f>IF($A308="","",IFERROR(INDEX(Listone!$B$2:$B$532,MATCH($A308,Listone!$A$2:$A$532,0)),"?"))</f>
        <v/>
      </c>
      <c r="C308" s="2">
        <f>IF($A308="","",IFERROR(INDEX(Listone!$C$2:$C$532,MATCH($A308,Listone!$A$2:$A$532,0)),""))</f>
        <v/>
      </c>
      <c r="D308" s="2">
        <f>IF($A308="","",IFERROR(INDEX(Listone!$D$2:$D$532,MATCH($A308,Listone!$A$2:$A$532,0)),""))</f>
        <v/>
      </c>
      <c r="E308" s="2">
        <f>IF($A308="","",IFERROR(INDEX(Listone!$G$2:$G$532,MATCH($A308,Listone!$A$2:$A$532,0)),""))</f>
        <v/>
      </c>
      <c r="F308" s="8" t="n"/>
      <c r="G308" s="8" t="n"/>
      <c r="H308" s="7">
        <f>IF(OR($A308="",$F308=""),"",$F308&amp;"|"&amp;$C308)</f>
        <v/>
      </c>
      <c r="I308" s="7">
        <f>IF($H308="","",COUNTIF($H$4:$H308,$H308))</f>
        <v/>
      </c>
      <c r="J308" s="7">
        <f>IF($H308="","",$H308&amp;"|"&amp;$I308)</f>
        <v/>
      </c>
    </row>
    <row r="309">
      <c r="A309" s="8" t="n"/>
      <c r="B309" s="2">
        <f>IF($A309="","",IFERROR(INDEX(Listone!$B$2:$B$532,MATCH($A309,Listone!$A$2:$A$532,0)),"?"))</f>
        <v/>
      </c>
      <c r="C309" s="2">
        <f>IF($A309="","",IFERROR(INDEX(Listone!$C$2:$C$532,MATCH($A309,Listone!$A$2:$A$532,0)),""))</f>
        <v/>
      </c>
      <c r="D309" s="2">
        <f>IF($A309="","",IFERROR(INDEX(Listone!$D$2:$D$532,MATCH($A309,Listone!$A$2:$A$532,0)),""))</f>
        <v/>
      </c>
      <c r="E309" s="2">
        <f>IF($A309="","",IFERROR(INDEX(Listone!$G$2:$G$532,MATCH($A309,Listone!$A$2:$A$532,0)),""))</f>
        <v/>
      </c>
      <c r="F309" s="8" t="n"/>
      <c r="G309" s="8" t="n"/>
      <c r="H309" s="7">
        <f>IF(OR($A309="",$F309=""),"",$F309&amp;"|"&amp;$C309)</f>
        <v/>
      </c>
      <c r="I309" s="7">
        <f>IF($H309="","",COUNTIF($H$4:$H309,$H309))</f>
        <v/>
      </c>
      <c r="J309" s="7">
        <f>IF($H309="","",$H309&amp;"|"&amp;$I309)</f>
        <v/>
      </c>
    </row>
    <row r="310">
      <c r="A310" s="8" t="n"/>
      <c r="B310" s="2">
        <f>IF($A310="","",IFERROR(INDEX(Listone!$B$2:$B$532,MATCH($A310,Listone!$A$2:$A$532,0)),"?"))</f>
        <v/>
      </c>
      <c r="C310" s="2">
        <f>IF($A310="","",IFERROR(INDEX(Listone!$C$2:$C$532,MATCH($A310,Listone!$A$2:$A$532,0)),""))</f>
        <v/>
      </c>
      <c r="D310" s="2">
        <f>IF($A310="","",IFERROR(INDEX(Listone!$D$2:$D$532,MATCH($A310,Listone!$A$2:$A$532,0)),""))</f>
        <v/>
      </c>
      <c r="E310" s="2">
        <f>IF($A310="","",IFERROR(INDEX(Listone!$G$2:$G$532,MATCH($A310,Listone!$A$2:$A$532,0)),""))</f>
        <v/>
      </c>
      <c r="F310" s="8" t="n"/>
      <c r="G310" s="8" t="n"/>
      <c r="H310" s="7">
        <f>IF(OR($A310="",$F310=""),"",$F310&amp;"|"&amp;$C310)</f>
        <v/>
      </c>
      <c r="I310" s="7">
        <f>IF($H310="","",COUNTIF($H$4:$H310,$H310))</f>
        <v/>
      </c>
      <c r="J310" s="7">
        <f>IF($H310="","",$H310&amp;"|"&amp;$I310)</f>
        <v/>
      </c>
    </row>
    <row r="311">
      <c r="A311" s="8" t="n"/>
      <c r="B311" s="2">
        <f>IF($A311="","",IFERROR(INDEX(Listone!$B$2:$B$532,MATCH($A311,Listone!$A$2:$A$532,0)),"?"))</f>
        <v/>
      </c>
      <c r="C311" s="2">
        <f>IF($A311="","",IFERROR(INDEX(Listone!$C$2:$C$532,MATCH($A311,Listone!$A$2:$A$532,0)),""))</f>
        <v/>
      </c>
      <c r="D311" s="2">
        <f>IF($A311="","",IFERROR(INDEX(Listone!$D$2:$D$532,MATCH($A311,Listone!$A$2:$A$532,0)),""))</f>
        <v/>
      </c>
      <c r="E311" s="2">
        <f>IF($A311="","",IFERROR(INDEX(Listone!$G$2:$G$532,MATCH($A311,Listone!$A$2:$A$532,0)),""))</f>
        <v/>
      </c>
      <c r="F311" s="8" t="n"/>
      <c r="G311" s="8" t="n"/>
      <c r="H311" s="7">
        <f>IF(OR($A311="",$F311=""),"",$F311&amp;"|"&amp;$C311)</f>
        <v/>
      </c>
      <c r="I311" s="7">
        <f>IF($H311="","",COUNTIF($H$4:$H311,$H311))</f>
        <v/>
      </c>
      <c r="J311" s="7">
        <f>IF($H311="","",$H311&amp;"|"&amp;$I311)</f>
        <v/>
      </c>
    </row>
    <row r="312">
      <c r="A312" s="8" t="n"/>
      <c r="B312" s="2">
        <f>IF($A312="","",IFERROR(INDEX(Listone!$B$2:$B$532,MATCH($A312,Listone!$A$2:$A$532,0)),"?"))</f>
        <v/>
      </c>
      <c r="C312" s="2">
        <f>IF($A312="","",IFERROR(INDEX(Listone!$C$2:$C$532,MATCH($A312,Listone!$A$2:$A$532,0)),""))</f>
        <v/>
      </c>
      <c r="D312" s="2">
        <f>IF($A312="","",IFERROR(INDEX(Listone!$D$2:$D$532,MATCH($A312,Listone!$A$2:$A$532,0)),""))</f>
        <v/>
      </c>
      <c r="E312" s="2">
        <f>IF($A312="","",IFERROR(INDEX(Listone!$G$2:$G$532,MATCH($A312,Listone!$A$2:$A$532,0)),""))</f>
        <v/>
      </c>
      <c r="F312" s="8" t="n"/>
      <c r="G312" s="8" t="n"/>
      <c r="H312" s="7">
        <f>IF(OR($A312="",$F312=""),"",$F312&amp;"|"&amp;$C312)</f>
        <v/>
      </c>
      <c r="I312" s="7">
        <f>IF($H312="","",COUNTIF($H$4:$H312,$H312))</f>
        <v/>
      </c>
      <c r="J312" s="7">
        <f>IF($H312="","",$H312&amp;"|"&amp;$I312)</f>
        <v/>
      </c>
    </row>
    <row r="313">
      <c r="A313" s="8" t="n"/>
      <c r="B313" s="2">
        <f>IF($A313="","",IFERROR(INDEX(Listone!$B$2:$B$532,MATCH($A313,Listone!$A$2:$A$532,0)),"?"))</f>
        <v/>
      </c>
      <c r="C313" s="2">
        <f>IF($A313="","",IFERROR(INDEX(Listone!$C$2:$C$532,MATCH($A313,Listone!$A$2:$A$532,0)),""))</f>
        <v/>
      </c>
      <c r="D313" s="2">
        <f>IF($A313="","",IFERROR(INDEX(Listone!$D$2:$D$532,MATCH($A313,Listone!$A$2:$A$532,0)),""))</f>
        <v/>
      </c>
      <c r="E313" s="2">
        <f>IF($A313="","",IFERROR(INDEX(Listone!$G$2:$G$532,MATCH($A313,Listone!$A$2:$A$532,0)),""))</f>
        <v/>
      </c>
      <c r="F313" s="8" t="n"/>
      <c r="G313" s="8" t="n"/>
      <c r="H313" s="7">
        <f>IF(OR($A313="",$F313=""),"",$F313&amp;"|"&amp;$C313)</f>
        <v/>
      </c>
      <c r="I313" s="7">
        <f>IF($H313="","",COUNTIF($H$4:$H313,$H313))</f>
        <v/>
      </c>
      <c r="J313" s="7">
        <f>IF($H313="","",$H313&amp;"|"&amp;$I313)</f>
        <v/>
      </c>
    </row>
    <row r="314">
      <c r="A314" s="8" t="n"/>
      <c r="B314" s="2">
        <f>IF($A314="","",IFERROR(INDEX(Listone!$B$2:$B$532,MATCH($A314,Listone!$A$2:$A$532,0)),"?"))</f>
        <v/>
      </c>
      <c r="C314" s="2">
        <f>IF($A314="","",IFERROR(INDEX(Listone!$C$2:$C$532,MATCH($A314,Listone!$A$2:$A$532,0)),""))</f>
        <v/>
      </c>
      <c r="D314" s="2">
        <f>IF($A314="","",IFERROR(INDEX(Listone!$D$2:$D$532,MATCH($A314,Listone!$A$2:$A$532,0)),""))</f>
        <v/>
      </c>
      <c r="E314" s="2">
        <f>IF($A314="","",IFERROR(INDEX(Listone!$G$2:$G$532,MATCH($A314,Listone!$A$2:$A$532,0)),""))</f>
        <v/>
      </c>
      <c r="F314" s="8" t="n"/>
      <c r="G314" s="8" t="n"/>
      <c r="H314" s="7">
        <f>IF(OR($A314="",$F314=""),"",$F314&amp;"|"&amp;$C314)</f>
        <v/>
      </c>
      <c r="I314" s="7">
        <f>IF($H314="","",COUNTIF($H$4:$H314,$H314))</f>
        <v/>
      </c>
      <c r="J314" s="7">
        <f>IF($H314="","",$H314&amp;"|"&amp;$I314)</f>
        <v/>
      </c>
    </row>
    <row r="315">
      <c r="A315" s="8" t="n"/>
      <c r="B315" s="2">
        <f>IF($A315="","",IFERROR(INDEX(Listone!$B$2:$B$532,MATCH($A315,Listone!$A$2:$A$532,0)),"?"))</f>
        <v/>
      </c>
      <c r="C315" s="2">
        <f>IF($A315="","",IFERROR(INDEX(Listone!$C$2:$C$532,MATCH($A315,Listone!$A$2:$A$532,0)),""))</f>
        <v/>
      </c>
      <c r="D315" s="2">
        <f>IF($A315="","",IFERROR(INDEX(Listone!$D$2:$D$532,MATCH($A315,Listone!$A$2:$A$532,0)),""))</f>
        <v/>
      </c>
      <c r="E315" s="2">
        <f>IF($A315="","",IFERROR(INDEX(Listone!$G$2:$G$532,MATCH($A315,Listone!$A$2:$A$532,0)),""))</f>
        <v/>
      </c>
      <c r="F315" s="8" t="n"/>
      <c r="G315" s="8" t="n"/>
      <c r="H315" s="7">
        <f>IF(OR($A315="",$F315=""),"",$F315&amp;"|"&amp;$C315)</f>
        <v/>
      </c>
      <c r="I315" s="7">
        <f>IF($H315="","",COUNTIF($H$4:$H315,$H315))</f>
        <v/>
      </c>
      <c r="J315" s="7">
        <f>IF($H315="","",$H315&amp;"|"&amp;$I315)</f>
        <v/>
      </c>
    </row>
    <row r="316">
      <c r="A316" s="8" t="n"/>
      <c r="B316" s="2">
        <f>IF($A316="","",IFERROR(INDEX(Listone!$B$2:$B$532,MATCH($A316,Listone!$A$2:$A$532,0)),"?"))</f>
        <v/>
      </c>
      <c r="C316" s="2">
        <f>IF($A316="","",IFERROR(INDEX(Listone!$C$2:$C$532,MATCH($A316,Listone!$A$2:$A$532,0)),""))</f>
        <v/>
      </c>
      <c r="D316" s="2">
        <f>IF($A316="","",IFERROR(INDEX(Listone!$D$2:$D$532,MATCH($A316,Listone!$A$2:$A$532,0)),""))</f>
        <v/>
      </c>
      <c r="E316" s="2">
        <f>IF($A316="","",IFERROR(INDEX(Listone!$G$2:$G$532,MATCH($A316,Listone!$A$2:$A$532,0)),""))</f>
        <v/>
      </c>
      <c r="F316" s="8" t="n"/>
      <c r="G316" s="8" t="n"/>
      <c r="H316" s="7">
        <f>IF(OR($A316="",$F316=""),"",$F316&amp;"|"&amp;$C316)</f>
        <v/>
      </c>
      <c r="I316" s="7">
        <f>IF($H316="","",COUNTIF($H$4:$H316,$H316))</f>
        <v/>
      </c>
      <c r="J316" s="7">
        <f>IF($H316="","",$H316&amp;"|"&amp;$I316)</f>
        <v/>
      </c>
    </row>
    <row r="317">
      <c r="A317" s="8" t="n"/>
      <c r="B317" s="2">
        <f>IF($A317="","",IFERROR(INDEX(Listone!$B$2:$B$532,MATCH($A317,Listone!$A$2:$A$532,0)),"?"))</f>
        <v/>
      </c>
      <c r="C317" s="2">
        <f>IF($A317="","",IFERROR(INDEX(Listone!$C$2:$C$532,MATCH($A317,Listone!$A$2:$A$532,0)),""))</f>
        <v/>
      </c>
      <c r="D317" s="2">
        <f>IF($A317="","",IFERROR(INDEX(Listone!$D$2:$D$532,MATCH($A317,Listone!$A$2:$A$532,0)),""))</f>
        <v/>
      </c>
      <c r="E317" s="2">
        <f>IF($A317="","",IFERROR(INDEX(Listone!$G$2:$G$532,MATCH($A317,Listone!$A$2:$A$532,0)),""))</f>
        <v/>
      </c>
      <c r="F317" s="8" t="n"/>
      <c r="G317" s="8" t="n"/>
      <c r="H317" s="7">
        <f>IF(OR($A317="",$F317=""),"",$F317&amp;"|"&amp;$C317)</f>
        <v/>
      </c>
      <c r="I317" s="7">
        <f>IF($H317="","",COUNTIF($H$4:$H317,$H317))</f>
        <v/>
      </c>
      <c r="J317" s="7">
        <f>IF($H317="","",$H317&amp;"|"&amp;$I317)</f>
        <v/>
      </c>
    </row>
    <row r="318">
      <c r="A318" s="8" t="n"/>
      <c r="B318" s="2">
        <f>IF($A318="","",IFERROR(INDEX(Listone!$B$2:$B$532,MATCH($A318,Listone!$A$2:$A$532,0)),"?"))</f>
        <v/>
      </c>
      <c r="C318" s="2">
        <f>IF($A318="","",IFERROR(INDEX(Listone!$C$2:$C$532,MATCH($A318,Listone!$A$2:$A$532,0)),""))</f>
        <v/>
      </c>
      <c r="D318" s="2">
        <f>IF($A318="","",IFERROR(INDEX(Listone!$D$2:$D$532,MATCH($A318,Listone!$A$2:$A$532,0)),""))</f>
        <v/>
      </c>
      <c r="E318" s="2">
        <f>IF($A318="","",IFERROR(INDEX(Listone!$G$2:$G$532,MATCH($A318,Listone!$A$2:$A$532,0)),""))</f>
        <v/>
      </c>
      <c r="F318" s="8" t="n"/>
      <c r="G318" s="8" t="n"/>
      <c r="H318" s="7">
        <f>IF(OR($A318="",$F318=""),"",$F318&amp;"|"&amp;$C318)</f>
        <v/>
      </c>
      <c r="I318" s="7">
        <f>IF($H318="","",COUNTIF($H$4:$H318,$H318))</f>
        <v/>
      </c>
      <c r="J318" s="7">
        <f>IF($H318="","",$H318&amp;"|"&amp;$I318)</f>
        <v/>
      </c>
    </row>
    <row r="319">
      <c r="A319" s="8" t="n"/>
      <c r="B319" s="2">
        <f>IF($A319="","",IFERROR(INDEX(Listone!$B$2:$B$532,MATCH($A319,Listone!$A$2:$A$532,0)),"?"))</f>
        <v/>
      </c>
      <c r="C319" s="2">
        <f>IF($A319="","",IFERROR(INDEX(Listone!$C$2:$C$532,MATCH($A319,Listone!$A$2:$A$532,0)),""))</f>
        <v/>
      </c>
      <c r="D319" s="2">
        <f>IF($A319="","",IFERROR(INDEX(Listone!$D$2:$D$532,MATCH($A319,Listone!$A$2:$A$532,0)),""))</f>
        <v/>
      </c>
      <c r="E319" s="2">
        <f>IF($A319="","",IFERROR(INDEX(Listone!$G$2:$G$532,MATCH($A319,Listone!$A$2:$A$532,0)),""))</f>
        <v/>
      </c>
      <c r="F319" s="8" t="n"/>
      <c r="G319" s="8" t="n"/>
      <c r="H319" s="7">
        <f>IF(OR($A319="",$F319=""),"",$F319&amp;"|"&amp;$C319)</f>
        <v/>
      </c>
      <c r="I319" s="7">
        <f>IF($H319="","",COUNTIF($H$4:$H319,$H319))</f>
        <v/>
      </c>
      <c r="J319" s="7">
        <f>IF($H319="","",$H319&amp;"|"&amp;$I319)</f>
        <v/>
      </c>
    </row>
    <row r="320">
      <c r="A320" s="8" t="n"/>
      <c r="B320" s="2">
        <f>IF($A320="","",IFERROR(INDEX(Listone!$B$2:$B$532,MATCH($A320,Listone!$A$2:$A$532,0)),"?"))</f>
        <v/>
      </c>
      <c r="C320" s="2">
        <f>IF($A320="","",IFERROR(INDEX(Listone!$C$2:$C$532,MATCH($A320,Listone!$A$2:$A$532,0)),""))</f>
        <v/>
      </c>
      <c r="D320" s="2">
        <f>IF($A320="","",IFERROR(INDEX(Listone!$D$2:$D$532,MATCH($A320,Listone!$A$2:$A$532,0)),""))</f>
        <v/>
      </c>
      <c r="E320" s="2">
        <f>IF($A320="","",IFERROR(INDEX(Listone!$G$2:$G$532,MATCH($A320,Listone!$A$2:$A$532,0)),""))</f>
        <v/>
      </c>
      <c r="F320" s="8" t="n"/>
      <c r="G320" s="8" t="n"/>
      <c r="H320" s="7">
        <f>IF(OR($A320="",$F320=""),"",$F320&amp;"|"&amp;$C320)</f>
        <v/>
      </c>
      <c r="I320" s="7">
        <f>IF($H320="","",COUNTIF($H$4:$H320,$H320))</f>
        <v/>
      </c>
      <c r="J320" s="7">
        <f>IF($H320="","",$H320&amp;"|"&amp;$I320)</f>
        <v/>
      </c>
    </row>
    <row r="321">
      <c r="A321" s="8" t="n"/>
      <c r="B321" s="2">
        <f>IF($A321="","",IFERROR(INDEX(Listone!$B$2:$B$532,MATCH($A321,Listone!$A$2:$A$532,0)),"?"))</f>
        <v/>
      </c>
      <c r="C321" s="2">
        <f>IF($A321="","",IFERROR(INDEX(Listone!$C$2:$C$532,MATCH($A321,Listone!$A$2:$A$532,0)),""))</f>
        <v/>
      </c>
      <c r="D321" s="2">
        <f>IF($A321="","",IFERROR(INDEX(Listone!$D$2:$D$532,MATCH($A321,Listone!$A$2:$A$532,0)),""))</f>
        <v/>
      </c>
      <c r="E321" s="2">
        <f>IF($A321="","",IFERROR(INDEX(Listone!$G$2:$G$532,MATCH($A321,Listone!$A$2:$A$532,0)),""))</f>
        <v/>
      </c>
      <c r="F321" s="8" t="n"/>
      <c r="G321" s="8" t="n"/>
      <c r="H321" s="7">
        <f>IF(OR($A321="",$F321=""),"",$F321&amp;"|"&amp;$C321)</f>
        <v/>
      </c>
      <c r="I321" s="7">
        <f>IF($H321="","",COUNTIF($H$4:$H321,$H321))</f>
        <v/>
      </c>
      <c r="J321" s="7">
        <f>IF($H321="","",$H321&amp;"|"&amp;$I321)</f>
        <v/>
      </c>
    </row>
    <row r="322">
      <c r="A322" s="8" t="n"/>
      <c r="B322" s="2">
        <f>IF($A322="","",IFERROR(INDEX(Listone!$B$2:$B$532,MATCH($A322,Listone!$A$2:$A$532,0)),"?"))</f>
        <v/>
      </c>
      <c r="C322" s="2">
        <f>IF($A322="","",IFERROR(INDEX(Listone!$C$2:$C$532,MATCH($A322,Listone!$A$2:$A$532,0)),""))</f>
        <v/>
      </c>
      <c r="D322" s="2">
        <f>IF($A322="","",IFERROR(INDEX(Listone!$D$2:$D$532,MATCH($A322,Listone!$A$2:$A$532,0)),""))</f>
        <v/>
      </c>
      <c r="E322" s="2">
        <f>IF($A322="","",IFERROR(INDEX(Listone!$G$2:$G$532,MATCH($A322,Listone!$A$2:$A$532,0)),""))</f>
        <v/>
      </c>
      <c r="F322" s="8" t="n"/>
      <c r="G322" s="8" t="n"/>
      <c r="H322" s="7">
        <f>IF(OR($A322="",$F322=""),"",$F322&amp;"|"&amp;$C322)</f>
        <v/>
      </c>
      <c r="I322" s="7">
        <f>IF($H322="","",COUNTIF($H$4:$H322,$H322))</f>
        <v/>
      </c>
      <c r="J322" s="7">
        <f>IF($H322="","",$H322&amp;"|"&amp;$I322)</f>
        <v/>
      </c>
    </row>
    <row r="323">
      <c r="A323" s="8" t="n"/>
      <c r="B323" s="2">
        <f>IF($A323="","",IFERROR(INDEX(Listone!$B$2:$B$532,MATCH($A323,Listone!$A$2:$A$532,0)),"?"))</f>
        <v/>
      </c>
      <c r="C323" s="2">
        <f>IF($A323="","",IFERROR(INDEX(Listone!$C$2:$C$532,MATCH($A323,Listone!$A$2:$A$532,0)),""))</f>
        <v/>
      </c>
      <c r="D323" s="2">
        <f>IF($A323="","",IFERROR(INDEX(Listone!$D$2:$D$532,MATCH($A323,Listone!$A$2:$A$532,0)),""))</f>
        <v/>
      </c>
      <c r="E323" s="2">
        <f>IF($A323="","",IFERROR(INDEX(Listone!$G$2:$G$532,MATCH($A323,Listone!$A$2:$A$532,0)),""))</f>
        <v/>
      </c>
      <c r="F323" s="8" t="n"/>
      <c r="G323" s="8" t="n"/>
      <c r="H323" s="7">
        <f>IF(OR($A323="",$F323=""),"",$F323&amp;"|"&amp;$C323)</f>
        <v/>
      </c>
      <c r="I323" s="7">
        <f>IF($H323="","",COUNTIF($H$4:$H323,$H323))</f>
        <v/>
      </c>
      <c r="J323" s="7">
        <f>IF($H323="","",$H323&amp;"|"&amp;$I323)</f>
        <v/>
      </c>
    </row>
    <row r="324">
      <c r="A324" s="8" t="n"/>
      <c r="B324" s="2">
        <f>IF($A324="","",IFERROR(INDEX(Listone!$B$2:$B$532,MATCH($A324,Listone!$A$2:$A$532,0)),"?"))</f>
        <v/>
      </c>
      <c r="C324" s="2">
        <f>IF($A324="","",IFERROR(INDEX(Listone!$C$2:$C$532,MATCH($A324,Listone!$A$2:$A$532,0)),""))</f>
        <v/>
      </c>
      <c r="D324" s="2">
        <f>IF($A324="","",IFERROR(INDEX(Listone!$D$2:$D$532,MATCH($A324,Listone!$A$2:$A$532,0)),""))</f>
        <v/>
      </c>
      <c r="E324" s="2">
        <f>IF($A324="","",IFERROR(INDEX(Listone!$G$2:$G$532,MATCH($A324,Listone!$A$2:$A$532,0)),""))</f>
        <v/>
      </c>
      <c r="F324" s="8" t="n"/>
      <c r="G324" s="8" t="n"/>
      <c r="H324" s="7">
        <f>IF(OR($A324="",$F324=""),"",$F324&amp;"|"&amp;$C324)</f>
        <v/>
      </c>
      <c r="I324" s="7">
        <f>IF($H324="","",COUNTIF($H$4:$H324,$H324))</f>
        <v/>
      </c>
      <c r="J324" s="7">
        <f>IF($H324="","",$H324&amp;"|"&amp;$I324)</f>
        <v/>
      </c>
    </row>
    <row r="325">
      <c r="A325" s="8" t="n"/>
      <c r="B325" s="2">
        <f>IF($A325="","",IFERROR(INDEX(Listone!$B$2:$B$532,MATCH($A325,Listone!$A$2:$A$532,0)),"?"))</f>
        <v/>
      </c>
      <c r="C325" s="2">
        <f>IF($A325="","",IFERROR(INDEX(Listone!$C$2:$C$532,MATCH($A325,Listone!$A$2:$A$532,0)),""))</f>
        <v/>
      </c>
      <c r="D325" s="2">
        <f>IF($A325="","",IFERROR(INDEX(Listone!$D$2:$D$532,MATCH($A325,Listone!$A$2:$A$532,0)),""))</f>
        <v/>
      </c>
      <c r="E325" s="2">
        <f>IF($A325="","",IFERROR(INDEX(Listone!$G$2:$G$532,MATCH($A325,Listone!$A$2:$A$532,0)),""))</f>
        <v/>
      </c>
      <c r="F325" s="8" t="n"/>
      <c r="G325" s="8" t="n"/>
      <c r="H325" s="7">
        <f>IF(OR($A325="",$F325=""),"",$F325&amp;"|"&amp;$C325)</f>
        <v/>
      </c>
      <c r="I325" s="7">
        <f>IF($H325="","",COUNTIF($H$4:$H325,$H325))</f>
        <v/>
      </c>
      <c r="J325" s="7">
        <f>IF($H325="","",$H325&amp;"|"&amp;$I325)</f>
        <v/>
      </c>
    </row>
    <row r="326">
      <c r="A326" s="8" t="n"/>
      <c r="B326" s="2">
        <f>IF($A326="","",IFERROR(INDEX(Listone!$B$2:$B$532,MATCH($A326,Listone!$A$2:$A$532,0)),"?"))</f>
        <v/>
      </c>
      <c r="C326" s="2">
        <f>IF($A326="","",IFERROR(INDEX(Listone!$C$2:$C$532,MATCH($A326,Listone!$A$2:$A$532,0)),""))</f>
        <v/>
      </c>
      <c r="D326" s="2">
        <f>IF($A326="","",IFERROR(INDEX(Listone!$D$2:$D$532,MATCH($A326,Listone!$A$2:$A$532,0)),""))</f>
        <v/>
      </c>
      <c r="E326" s="2">
        <f>IF($A326="","",IFERROR(INDEX(Listone!$G$2:$G$532,MATCH($A326,Listone!$A$2:$A$532,0)),""))</f>
        <v/>
      </c>
      <c r="F326" s="8" t="n"/>
      <c r="G326" s="8" t="n"/>
      <c r="H326" s="7">
        <f>IF(OR($A326="",$F326=""),"",$F326&amp;"|"&amp;$C326)</f>
        <v/>
      </c>
      <c r="I326" s="7">
        <f>IF($H326="","",COUNTIF($H$4:$H326,$H326))</f>
        <v/>
      </c>
      <c r="J326" s="7">
        <f>IF($H326="","",$H326&amp;"|"&amp;$I326)</f>
        <v/>
      </c>
    </row>
    <row r="327">
      <c r="A327" s="8" t="n"/>
      <c r="B327" s="2">
        <f>IF($A327="","",IFERROR(INDEX(Listone!$B$2:$B$532,MATCH($A327,Listone!$A$2:$A$532,0)),"?"))</f>
        <v/>
      </c>
      <c r="C327" s="2">
        <f>IF($A327="","",IFERROR(INDEX(Listone!$C$2:$C$532,MATCH($A327,Listone!$A$2:$A$532,0)),""))</f>
        <v/>
      </c>
      <c r="D327" s="2">
        <f>IF($A327="","",IFERROR(INDEX(Listone!$D$2:$D$532,MATCH($A327,Listone!$A$2:$A$532,0)),""))</f>
        <v/>
      </c>
      <c r="E327" s="2">
        <f>IF($A327="","",IFERROR(INDEX(Listone!$G$2:$G$532,MATCH($A327,Listone!$A$2:$A$532,0)),""))</f>
        <v/>
      </c>
      <c r="F327" s="8" t="n"/>
      <c r="G327" s="8" t="n"/>
      <c r="H327" s="7">
        <f>IF(OR($A327="",$F327=""),"",$F327&amp;"|"&amp;$C327)</f>
        <v/>
      </c>
      <c r="I327" s="7">
        <f>IF($H327="","",COUNTIF($H$4:$H327,$H327))</f>
        <v/>
      </c>
      <c r="J327" s="7">
        <f>IF($H327="","",$H327&amp;"|"&amp;$I327)</f>
        <v/>
      </c>
    </row>
    <row r="328">
      <c r="A328" s="8" t="n"/>
      <c r="B328" s="2">
        <f>IF($A328="","",IFERROR(INDEX(Listone!$B$2:$B$532,MATCH($A328,Listone!$A$2:$A$532,0)),"?"))</f>
        <v/>
      </c>
      <c r="C328" s="2">
        <f>IF($A328="","",IFERROR(INDEX(Listone!$C$2:$C$532,MATCH($A328,Listone!$A$2:$A$532,0)),""))</f>
        <v/>
      </c>
      <c r="D328" s="2">
        <f>IF($A328="","",IFERROR(INDEX(Listone!$D$2:$D$532,MATCH($A328,Listone!$A$2:$A$532,0)),""))</f>
        <v/>
      </c>
      <c r="E328" s="2">
        <f>IF($A328="","",IFERROR(INDEX(Listone!$G$2:$G$532,MATCH($A328,Listone!$A$2:$A$532,0)),""))</f>
        <v/>
      </c>
      <c r="F328" s="8" t="n"/>
      <c r="G328" s="8" t="n"/>
      <c r="H328" s="7">
        <f>IF(OR($A328="",$F328=""),"",$F328&amp;"|"&amp;$C328)</f>
        <v/>
      </c>
      <c r="I328" s="7">
        <f>IF($H328="","",COUNTIF($H$4:$H328,$H328))</f>
        <v/>
      </c>
      <c r="J328" s="7">
        <f>IF($H328="","",$H328&amp;"|"&amp;$I328)</f>
        <v/>
      </c>
    </row>
    <row r="329">
      <c r="A329" s="8" t="n"/>
      <c r="B329" s="2">
        <f>IF($A329="","",IFERROR(INDEX(Listone!$B$2:$B$532,MATCH($A329,Listone!$A$2:$A$532,0)),"?"))</f>
        <v/>
      </c>
      <c r="C329" s="2">
        <f>IF($A329="","",IFERROR(INDEX(Listone!$C$2:$C$532,MATCH($A329,Listone!$A$2:$A$532,0)),""))</f>
        <v/>
      </c>
      <c r="D329" s="2">
        <f>IF($A329="","",IFERROR(INDEX(Listone!$D$2:$D$532,MATCH($A329,Listone!$A$2:$A$532,0)),""))</f>
        <v/>
      </c>
      <c r="E329" s="2">
        <f>IF($A329="","",IFERROR(INDEX(Listone!$G$2:$G$532,MATCH($A329,Listone!$A$2:$A$532,0)),""))</f>
        <v/>
      </c>
      <c r="F329" s="8" t="n"/>
      <c r="G329" s="8" t="n"/>
      <c r="H329" s="7">
        <f>IF(OR($A329="",$F329=""),"",$F329&amp;"|"&amp;$C329)</f>
        <v/>
      </c>
      <c r="I329" s="7">
        <f>IF($H329="","",COUNTIF($H$4:$H329,$H329))</f>
        <v/>
      </c>
      <c r="J329" s="7">
        <f>IF($H329="","",$H329&amp;"|"&amp;$I329)</f>
        <v/>
      </c>
    </row>
    <row r="330">
      <c r="A330" s="8" t="n"/>
      <c r="B330" s="2">
        <f>IF($A330="","",IFERROR(INDEX(Listone!$B$2:$B$532,MATCH($A330,Listone!$A$2:$A$532,0)),"?"))</f>
        <v/>
      </c>
      <c r="C330" s="2">
        <f>IF($A330="","",IFERROR(INDEX(Listone!$C$2:$C$532,MATCH($A330,Listone!$A$2:$A$532,0)),""))</f>
        <v/>
      </c>
      <c r="D330" s="2">
        <f>IF($A330="","",IFERROR(INDEX(Listone!$D$2:$D$532,MATCH($A330,Listone!$A$2:$A$532,0)),""))</f>
        <v/>
      </c>
      <c r="E330" s="2">
        <f>IF($A330="","",IFERROR(INDEX(Listone!$G$2:$G$532,MATCH($A330,Listone!$A$2:$A$532,0)),""))</f>
        <v/>
      </c>
      <c r="F330" s="8" t="n"/>
      <c r="G330" s="8" t="n"/>
      <c r="H330" s="7">
        <f>IF(OR($A330="",$F330=""),"",$F330&amp;"|"&amp;$C330)</f>
        <v/>
      </c>
      <c r="I330" s="7">
        <f>IF($H330="","",COUNTIF($H$4:$H330,$H330))</f>
        <v/>
      </c>
      <c r="J330" s="7">
        <f>IF($H330="","",$H330&amp;"|"&amp;$I330)</f>
        <v/>
      </c>
    </row>
    <row r="331">
      <c r="A331" s="8" t="n"/>
      <c r="B331" s="2">
        <f>IF($A331="","",IFERROR(INDEX(Listone!$B$2:$B$532,MATCH($A331,Listone!$A$2:$A$532,0)),"?"))</f>
        <v/>
      </c>
      <c r="C331" s="2">
        <f>IF($A331="","",IFERROR(INDEX(Listone!$C$2:$C$532,MATCH($A331,Listone!$A$2:$A$532,0)),""))</f>
        <v/>
      </c>
      <c r="D331" s="2">
        <f>IF($A331="","",IFERROR(INDEX(Listone!$D$2:$D$532,MATCH($A331,Listone!$A$2:$A$532,0)),""))</f>
        <v/>
      </c>
      <c r="E331" s="2">
        <f>IF($A331="","",IFERROR(INDEX(Listone!$G$2:$G$532,MATCH($A331,Listone!$A$2:$A$532,0)),""))</f>
        <v/>
      </c>
      <c r="F331" s="8" t="n"/>
      <c r="G331" s="8" t="n"/>
      <c r="H331" s="7">
        <f>IF(OR($A331="",$F331=""),"",$F331&amp;"|"&amp;$C331)</f>
        <v/>
      </c>
      <c r="I331" s="7">
        <f>IF($H331="","",COUNTIF($H$4:$H331,$H331))</f>
        <v/>
      </c>
      <c r="J331" s="7">
        <f>IF($H331="","",$H331&amp;"|"&amp;$I331)</f>
        <v/>
      </c>
    </row>
    <row r="332">
      <c r="A332" s="8" t="n"/>
      <c r="B332" s="2">
        <f>IF($A332="","",IFERROR(INDEX(Listone!$B$2:$B$532,MATCH($A332,Listone!$A$2:$A$532,0)),"?"))</f>
        <v/>
      </c>
      <c r="C332" s="2">
        <f>IF($A332="","",IFERROR(INDEX(Listone!$C$2:$C$532,MATCH($A332,Listone!$A$2:$A$532,0)),""))</f>
        <v/>
      </c>
      <c r="D332" s="2">
        <f>IF($A332="","",IFERROR(INDEX(Listone!$D$2:$D$532,MATCH($A332,Listone!$A$2:$A$532,0)),""))</f>
        <v/>
      </c>
      <c r="E332" s="2">
        <f>IF($A332="","",IFERROR(INDEX(Listone!$G$2:$G$532,MATCH($A332,Listone!$A$2:$A$532,0)),""))</f>
        <v/>
      </c>
      <c r="F332" s="8" t="n"/>
      <c r="G332" s="8" t="n"/>
      <c r="H332" s="7">
        <f>IF(OR($A332="",$F332=""),"",$F332&amp;"|"&amp;$C332)</f>
        <v/>
      </c>
      <c r="I332" s="7">
        <f>IF($H332="","",COUNTIF($H$4:$H332,$H332))</f>
        <v/>
      </c>
      <c r="J332" s="7">
        <f>IF($H332="","",$H332&amp;"|"&amp;$I332)</f>
        <v/>
      </c>
    </row>
    <row r="333">
      <c r="A333" s="8" t="n"/>
      <c r="B333" s="2">
        <f>IF($A333="","",IFERROR(INDEX(Listone!$B$2:$B$532,MATCH($A333,Listone!$A$2:$A$532,0)),"?"))</f>
        <v/>
      </c>
      <c r="C333" s="2">
        <f>IF($A333="","",IFERROR(INDEX(Listone!$C$2:$C$532,MATCH($A333,Listone!$A$2:$A$532,0)),""))</f>
        <v/>
      </c>
      <c r="D333" s="2">
        <f>IF($A333="","",IFERROR(INDEX(Listone!$D$2:$D$532,MATCH($A333,Listone!$A$2:$A$532,0)),""))</f>
        <v/>
      </c>
      <c r="E333" s="2">
        <f>IF($A333="","",IFERROR(INDEX(Listone!$G$2:$G$532,MATCH($A333,Listone!$A$2:$A$532,0)),""))</f>
        <v/>
      </c>
      <c r="F333" s="8" t="n"/>
      <c r="G333" s="8" t="n"/>
      <c r="H333" s="7">
        <f>IF(OR($A333="",$F333=""),"",$F333&amp;"|"&amp;$C333)</f>
        <v/>
      </c>
      <c r="I333" s="7">
        <f>IF($H333="","",COUNTIF($H$4:$H333,$H333))</f>
        <v/>
      </c>
      <c r="J333" s="7">
        <f>IF($H333="","",$H333&amp;"|"&amp;$I333)</f>
        <v/>
      </c>
    </row>
    <row r="334">
      <c r="A334" s="8" t="n"/>
      <c r="B334" s="2">
        <f>IF($A334="","",IFERROR(INDEX(Listone!$B$2:$B$532,MATCH($A334,Listone!$A$2:$A$532,0)),"?"))</f>
        <v/>
      </c>
      <c r="C334" s="2">
        <f>IF($A334="","",IFERROR(INDEX(Listone!$C$2:$C$532,MATCH($A334,Listone!$A$2:$A$532,0)),""))</f>
        <v/>
      </c>
      <c r="D334" s="2">
        <f>IF($A334="","",IFERROR(INDEX(Listone!$D$2:$D$532,MATCH($A334,Listone!$A$2:$A$532,0)),""))</f>
        <v/>
      </c>
      <c r="E334" s="2">
        <f>IF($A334="","",IFERROR(INDEX(Listone!$G$2:$G$532,MATCH($A334,Listone!$A$2:$A$532,0)),""))</f>
        <v/>
      </c>
      <c r="F334" s="8" t="n"/>
      <c r="G334" s="8" t="n"/>
      <c r="H334" s="7">
        <f>IF(OR($A334="",$F334=""),"",$F334&amp;"|"&amp;$C334)</f>
        <v/>
      </c>
      <c r="I334" s="7">
        <f>IF($H334="","",COUNTIF($H$4:$H334,$H334))</f>
        <v/>
      </c>
      <c r="J334" s="7">
        <f>IF($H334="","",$H334&amp;"|"&amp;$I334)</f>
        <v/>
      </c>
    </row>
    <row r="335">
      <c r="A335" s="8" t="n"/>
      <c r="B335" s="2">
        <f>IF($A335="","",IFERROR(INDEX(Listone!$B$2:$B$532,MATCH($A335,Listone!$A$2:$A$532,0)),"?"))</f>
        <v/>
      </c>
      <c r="C335" s="2">
        <f>IF($A335="","",IFERROR(INDEX(Listone!$C$2:$C$532,MATCH($A335,Listone!$A$2:$A$532,0)),""))</f>
        <v/>
      </c>
      <c r="D335" s="2">
        <f>IF($A335="","",IFERROR(INDEX(Listone!$D$2:$D$532,MATCH($A335,Listone!$A$2:$A$532,0)),""))</f>
        <v/>
      </c>
      <c r="E335" s="2">
        <f>IF($A335="","",IFERROR(INDEX(Listone!$G$2:$G$532,MATCH($A335,Listone!$A$2:$A$532,0)),""))</f>
        <v/>
      </c>
      <c r="F335" s="8" t="n"/>
      <c r="G335" s="8" t="n"/>
      <c r="H335" s="7">
        <f>IF(OR($A335="",$F335=""),"",$F335&amp;"|"&amp;$C335)</f>
        <v/>
      </c>
      <c r="I335" s="7">
        <f>IF($H335="","",COUNTIF($H$4:$H335,$H335))</f>
        <v/>
      </c>
      <c r="J335" s="7">
        <f>IF($H335="","",$H335&amp;"|"&amp;$I335)</f>
        <v/>
      </c>
    </row>
    <row r="336">
      <c r="A336" s="8" t="n"/>
      <c r="B336" s="2">
        <f>IF($A336="","",IFERROR(INDEX(Listone!$B$2:$B$532,MATCH($A336,Listone!$A$2:$A$532,0)),"?"))</f>
        <v/>
      </c>
      <c r="C336" s="2">
        <f>IF($A336="","",IFERROR(INDEX(Listone!$C$2:$C$532,MATCH($A336,Listone!$A$2:$A$532,0)),""))</f>
        <v/>
      </c>
      <c r="D336" s="2">
        <f>IF($A336="","",IFERROR(INDEX(Listone!$D$2:$D$532,MATCH($A336,Listone!$A$2:$A$532,0)),""))</f>
        <v/>
      </c>
      <c r="E336" s="2">
        <f>IF($A336="","",IFERROR(INDEX(Listone!$G$2:$G$532,MATCH($A336,Listone!$A$2:$A$532,0)),""))</f>
        <v/>
      </c>
      <c r="F336" s="8" t="n"/>
      <c r="G336" s="8" t="n"/>
      <c r="H336" s="7">
        <f>IF(OR($A336="",$F336=""),"",$F336&amp;"|"&amp;$C336)</f>
        <v/>
      </c>
      <c r="I336" s="7">
        <f>IF($H336="","",COUNTIF($H$4:$H336,$H336))</f>
        <v/>
      </c>
      <c r="J336" s="7">
        <f>IF($H336="","",$H336&amp;"|"&amp;$I336)</f>
        <v/>
      </c>
    </row>
    <row r="337">
      <c r="A337" s="8" t="n"/>
      <c r="B337" s="2">
        <f>IF($A337="","",IFERROR(INDEX(Listone!$B$2:$B$532,MATCH($A337,Listone!$A$2:$A$532,0)),"?"))</f>
        <v/>
      </c>
      <c r="C337" s="2">
        <f>IF($A337="","",IFERROR(INDEX(Listone!$C$2:$C$532,MATCH($A337,Listone!$A$2:$A$532,0)),""))</f>
        <v/>
      </c>
      <c r="D337" s="2">
        <f>IF($A337="","",IFERROR(INDEX(Listone!$D$2:$D$532,MATCH($A337,Listone!$A$2:$A$532,0)),""))</f>
        <v/>
      </c>
      <c r="E337" s="2">
        <f>IF($A337="","",IFERROR(INDEX(Listone!$G$2:$G$532,MATCH($A337,Listone!$A$2:$A$532,0)),""))</f>
        <v/>
      </c>
      <c r="F337" s="8" t="n"/>
      <c r="G337" s="8" t="n"/>
      <c r="H337" s="7">
        <f>IF(OR($A337="",$F337=""),"",$F337&amp;"|"&amp;$C337)</f>
        <v/>
      </c>
      <c r="I337" s="7">
        <f>IF($H337="","",COUNTIF($H$4:$H337,$H337))</f>
        <v/>
      </c>
      <c r="J337" s="7">
        <f>IF($H337="","",$H337&amp;"|"&amp;$I337)</f>
        <v/>
      </c>
    </row>
    <row r="338">
      <c r="A338" s="8" t="n"/>
      <c r="B338" s="2">
        <f>IF($A338="","",IFERROR(INDEX(Listone!$B$2:$B$532,MATCH($A338,Listone!$A$2:$A$532,0)),"?"))</f>
        <v/>
      </c>
      <c r="C338" s="2">
        <f>IF($A338="","",IFERROR(INDEX(Listone!$C$2:$C$532,MATCH($A338,Listone!$A$2:$A$532,0)),""))</f>
        <v/>
      </c>
      <c r="D338" s="2">
        <f>IF($A338="","",IFERROR(INDEX(Listone!$D$2:$D$532,MATCH($A338,Listone!$A$2:$A$532,0)),""))</f>
        <v/>
      </c>
      <c r="E338" s="2">
        <f>IF($A338="","",IFERROR(INDEX(Listone!$G$2:$G$532,MATCH($A338,Listone!$A$2:$A$532,0)),""))</f>
        <v/>
      </c>
      <c r="F338" s="8" t="n"/>
      <c r="G338" s="8" t="n"/>
      <c r="H338" s="7">
        <f>IF(OR($A338="",$F338=""),"",$F338&amp;"|"&amp;$C338)</f>
        <v/>
      </c>
      <c r="I338" s="7">
        <f>IF($H338="","",COUNTIF($H$4:$H338,$H338))</f>
        <v/>
      </c>
      <c r="J338" s="7">
        <f>IF($H338="","",$H338&amp;"|"&amp;$I338)</f>
        <v/>
      </c>
    </row>
    <row r="339">
      <c r="A339" s="8" t="n"/>
      <c r="B339" s="2">
        <f>IF($A339="","",IFERROR(INDEX(Listone!$B$2:$B$532,MATCH($A339,Listone!$A$2:$A$532,0)),"?"))</f>
        <v/>
      </c>
      <c r="C339" s="2">
        <f>IF($A339="","",IFERROR(INDEX(Listone!$C$2:$C$532,MATCH($A339,Listone!$A$2:$A$532,0)),""))</f>
        <v/>
      </c>
      <c r="D339" s="2">
        <f>IF($A339="","",IFERROR(INDEX(Listone!$D$2:$D$532,MATCH($A339,Listone!$A$2:$A$532,0)),""))</f>
        <v/>
      </c>
      <c r="E339" s="2">
        <f>IF($A339="","",IFERROR(INDEX(Listone!$G$2:$G$532,MATCH($A339,Listone!$A$2:$A$532,0)),""))</f>
        <v/>
      </c>
      <c r="F339" s="8" t="n"/>
      <c r="G339" s="8" t="n"/>
      <c r="H339" s="7">
        <f>IF(OR($A339="",$F339=""),"",$F339&amp;"|"&amp;$C339)</f>
        <v/>
      </c>
      <c r="I339" s="7">
        <f>IF($H339="","",COUNTIF($H$4:$H339,$H339))</f>
        <v/>
      </c>
      <c r="J339" s="7">
        <f>IF($H339="","",$H339&amp;"|"&amp;$I339)</f>
        <v/>
      </c>
    </row>
    <row r="340">
      <c r="A340" s="8" t="n"/>
      <c r="B340" s="2">
        <f>IF($A340="","",IFERROR(INDEX(Listone!$B$2:$B$532,MATCH($A340,Listone!$A$2:$A$532,0)),"?"))</f>
        <v/>
      </c>
      <c r="C340" s="2">
        <f>IF($A340="","",IFERROR(INDEX(Listone!$C$2:$C$532,MATCH($A340,Listone!$A$2:$A$532,0)),""))</f>
        <v/>
      </c>
      <c r="D340" s="2">
        <f>IF($A340="","",IFERROR(INDEX(Listone!$D$2:$D$532,MATCH($A340,Listone!$A$2:$A$532,0)),""))</f>
        <v/>
      </c>
      <c r="E340" s="2">
        <f>IF($A340="","",IFERROR(INDEX(Listone!$G$2:$G$532,MATCH($A340,Listone!$A$2:$A$532,0)),""))</f>
        <v/>
      </c>
      <c r="F340" s="8" t="n"/>
      <c r="G340" s="8" t="n"/>
      <c r="H340" s="7">
        <f>IF(OR($A340="",$F340=""),"",$F340&amp;"|"&amp;$C340)</f>
        <v/>
      </c>
      <c r="I340" s="7">
        <f>IF($H340="","",COUNTIF($H$4:$H340,$H340))</f>
        <v/>
      </c>
      <c r="J340" s="7">
        <f>IF($H340="","",$H340&amp;"|"&amp;$I340)</f>
        <v/>
      </c>
    </row>
    <row r="341">
      <c r="A341" s="8" t="n"/>
      <c r="B341" s="2">
        <f>IF($A341="","",IFERROR(INDEX(Listone!$B$2:$B$532,MATCH($A341,Listone!$A$2:$A$532,0)),"?"))</f>
        <v/>
      </c>
      <c r="C341" s="2">
        <f>IF($A341="","",IFERROR(INDEX(Listone!$C$2:$C$532,MATCH($A341,Listone!$A$2:$A$532,0)),""))</f>
        <v/>
      </c>
      <c r="D341" s="2">
        <f>IF($A341="","",IFERROR(INDEX(Listone!$D$2:$D$532,MATCH($A341,Listone!$A$2:$A$532,0)),""))</f>
        <v/>
      </c>
      <c r="E341" s="2">
        <f>IF($A341="","",IFERROR(INDEX(Listone!$G$2:$G$532,MATCH($A341,Listone!$A$2:$A$532,0)),""))</f>
        <v/>
      </c>
      <c r="F341" s="8" t="n"/>
      <c r="G341" s="8" t="n"/>
      <c r="H341" s="7">
        <f>IF(OR($A341="",$F341=""),"",$F341&amp;"|"&amp;$C341)</f>
        <v/>
      </c>
      <c r="I341" s="7">
        <f>IF($H341="","",COUNTIF($H$4:$H341,$H341))</f>
        <v/>
      </c>
      <c r="J341" s="7">
        <f>IF($H341="","",$H341&amp;"|"&amp;$I341)</f>
        <v/>
      </c>
    </row>
    <row r="342">
      <c r="A342" s="8" t="n"/>
      <c r="B342" s="2">
        <f>IF($A342="","",IFERROR(INDEX(Listone!$B$2:$B$532,MATCH($A342,Listone!$A$2:$A$532,0)),"?"))</f>
        <v/>
      </c>
      <c r="C342" s="2">
        <f>IF($A342="","",IFERROR(INDEX(Listone!$C$2:$C$532,MATCH($A342,Listone!$A$2:$A$532,0)),""))</f>
        <v/>
      </c>
      <c r="D342" s="2">
        <f>IF($A342="","",IFERROR(INDEX(Listone!$D$2:$D$532,MATCH($A342,Listone!$A$2:$A$532,0)),""))</f>
        <v/>
      </c>
      <c r="E342" s="2">
        <f>IF($A342="","",IFERROR(INDEX(Listone!$G$2:$G$532,MATCH($A342,Listone!$A$2:$A$532,0)),""))</f>
        <v/>
      </c>
      <c r="F342" s="8" t="n"/>
      <c r="G342" s="8" t="n"/>
      <c r="H342" s="7">
        <f>IF(OR($A342="",$F342=""),"",$F342&amp;"|"&amp;$C342)</f>
        <v/>
      </c>
      <c r="I342" s="7">
        <f>IF($H342="","",COUNTIF($H$4:$H342,$H342))</f>
        <v/>
      </c>
      <c r="J342" s="7">
        <f>IF($H342="","",$H342&amp;"|"&amp;$I342)</f>
        <v/>
      </c>
    </row>
    <row r="343">
      <c r="A343" s="8" t="n"/>
      <c r="B343" s="2">
        <f>IF($A343="","",IFERROR(INDEX(Listone!$B$2:$B$532,MATCH($A343,Listone!$A$2:$A$532,0)),"?"))</f>
        <v/>
      </c>
      <c r="C343" s="2">
        <f>IF($A343="","",IFERROR(INDEX(Listone!$C$2:$C$532,MATCH($A343,Listone!$A$2:$A$532,0)),""))</f>
        <v/>
      </c>
      <c r="D343" s="2">
        <f>IF($A343="","",IFERROR(INDEX(Listone!$D$2:$D$532,MATCH($A343,Listone!$A$2:$A$532,0)),""))</f>
        <v/>
      </c>
      <c r="E343" s="2">
        <f>IF($A343="","",IFERROR(INDEX(Listone!$G$2:$G$532,MATCH($A343,Listone!$A$2:$A$532,0)),""))</f>
        <v/>
      </c>
      <c r="F343" s="8" t="n"/>
      <c r="G343" s="8" t="n"/>
      <c r="H343" s="7">
        <f>IF(OR($A343="",$F343=""),"",$F343&amp;"|"&amp;$C343)</f>
        <v/>
      </c>
      <c r="I343" s="7">
        <f>IF($H343="","",COUNTIF($H$4:$H343,$H343))</f>
        <v/>
      </c>
      <c r="J343" s="7">
        <f>IF($H343="","",$H343&amp;"|"&amp;$I343)</f>
        <v/>
      </c>
    </row>
    <row r="344">
      <c r="A344" s="8" t="n"/>
      <c r="B344" s="2">
        <f>IF($A344="","",IFERROR(INDEX(Listone!$B$2:$B$532,MATCH($A344,Listone!$A$2:$A$532,0)),"?"))</f>
        <v/>
      </c>
      <c r="C344" s="2">
        <f>IF($A344="","",IFERROR(INDEX(Listone!$C$2:$C$532,MATCH($A344,Listone!$A$2:$A$532,0)),""))</f>
        <v/>
      </c>
      <c r="D344" s="2">
        <f>IF($A344="","",IFERROR(INDEX(Listone!$D$2:$D$532,MATCH($A344,Listone!$A$2:$A$532,0)),""))</f>
        <v/>
      </c>
      <c r="E344" s="2">
        <f>IF($A344="","",IFERROR(INDEX(Listone!$G$2:$G$532,MATCH($A344,Listone!$A$2:$A$532,0)),""))</f>
        <v/>
      </c>
      <c r="F344" s="8" t="n"/>
      <c r="G344" s="8" t="n"/>
      <c r="H344" s="7">
        <f>IF(OR($A344="",$F344=""),"",$F344&amp;"|"&amp;$C344)</f>
        <v/>
      </c>
      <c r="I344" s="7">
        <f>IF($H344="","",COUNTIF($H$4:$H344,$H344))</f>
        <v/>
      </c>
      <c r="J344" s="7">
        <f>IF($H344="","",$H344&amp;"|"&amp;$I344)</f>
        <v/>
      </c>
    </row>
    <row r="345">
      <c r="A345" s="8" t="n"/>
      <c r="B345" s="2">
        <f>IF($A345="","",IFERROR(INDEX(Listone!$B$2:$B$532,MATCH($A345,Listone!$A$2:$A$532,0)),"?"))</f>
        <v/>
      </c>
      <c r="C345" s="2">
        <f>IF($A345="","",IFERROR(INDEX(Listone!$C$2:$C$532,MATCH($A345,Listone!$A$2:$A$532,0)),""))</f>
        <v/>
      </c>
      <c r="D345" s="2">
        <f>IF($A345="","",IFERROR(INDEX(Listone!$D$2:$D$532,MATCH($A345,Listone!$A$2:$A$532,0)),""))</f>
        <v/>
      </c>
      <c r="E345" s="2">
        <f>IF($A345="","",IFERROR(INDEX(Listone!$G$2:$G$532,MATCH($A345,Listone!$A$2:$A$532,0)),""))</f>
        <v/>
      </c>
      <c r="F345" s="8" t="n"/>
      <c r="G345" s="8" t="n"/>
      <c r="H345" s="7">
        <f>IF(OR($A345="",$F345=""),"",$F345&amp;"|"&amp;$C345)</f>
        <v/>
      </c>
      <c r="I345" s="7">
        <f>IF($H345="","",COUNTIF($H$4:$H345,$H345))</f>
        <v/>
      </c>
      <c r="J345" s="7">
        <f>IF($H345="","",$H345&amp;"|"&amp;$I345)</f>
        <v/>
      </c>
    </row>
    <row r="346">
      <c r="A346" s="8" t="n"/>
      <c r="B346" s="2">
        <f>IF($A346="","",IFERROR(INDEX(Listone!$B$2:$B$532,MATCH($A346,Listone!$A$2:$A$532,0)),"?"))</f>
        <v/>
      </c>
      <c r="C346" s="2">
        <f>IF($A346="","",IFERROR(INDEX(Listone!$C$2:$C$532,MATCH($A346,Listone!$A$2:$A$532,0)),""))</f>
        <v/>
      </c>
      <c r="D346" s="2">
        <f>IF($A346="","",IFERROR(INDEX(Listone!$D$2:$D$532,MATCH($A346,Listone!$A$2:$A$532,0)),""))</f>
        <v/>
      </c>
      <c r="E346" s="2">
        <f>IF($A346="","",IFERROR(INDEX(Listone!$G$2:$G$532,MATCH($A346,Listone!$A$2:$A$532,0)),""))</f>
        <v/>
      </c>
      <c r="F346" s="8" t="n"/>
      <c r="G346" s="8" t="n"/>
      <c r="H346" s="7">
        <f>IF(OR($A346="",$F346=""),"",$F346&amp;"|"&amp;$C346)</f>
        <v/>
      </c>
      <c r="I346" s="7">
        <f>IF($H346="","",COUNTIF($H$4:$H346,$H346))</f>
        <v/>
      </c>
      <c r="J346" s="7">
        <f>IF($H346="","",$H346&amp;"|"&amp;$I346)</f>
        <v/>
      </c>
    </row>
    <row r="347">
      <c r="A347" s="8" t="n"/>
      <c r="B347" s="2">
        <f>IF($A347="","",IFERROR(INDEX(Listone!$B$2:$B$532,MATCH($A347,Listone!$A$2:$A$532,0)),"?"))</f>
        <v/>
      </c>
      <c r="C347" s="2">
        <f>IF($A347="","",IFERROR(INDEX(Listone!$C$2:$C$532,MATCH($A347,Listone!$A$2:$A$532,0)),""))</f>
        <v/>
      </c>
      <c r="D347" s="2">
        <f>IF($A347="","",IFERROR(INDEX(Listone!$D$2:$D$532,MATCH($A347,Listone!$A$2:$A$532,0)),""))</f>
        <v/>
      </c>
      <c r="E347" s="2">
        <f>IF($A347="","",IFERROR(INDEX(Listone!$G$2:$G$532,MATCH($A347,Listone!$A$2:$A$532,0)),""))</f>
        <v/>
      </c>
      <c r="F347" s="8" t="n"/>
      <c r="G347" s="8" t="n"/>
      <c r="H347" s="7">
        <f>IF(OR($A347="",$F347=""),"",$F347&amp;"|"&amp;$C347)</f>
        <v/>
      </c>
      <c r="I347" s="7">
        <f>IF($H347="","",COUNTIF($H$4:$H347,$H347))</f>
        <v/>
      </c>
      <c r="J347" s="7">
        <f>IF($H347="","",$H347&amp;"|"&amp;$I347)</f>
        <v/>
      </c>
    </row>
    <row r="348">
      <c r="A348" s="8" t="n"/>
      <c r="B348" s="2">
        <f>IF($A348="","",IFERROR(INDEX(Listone!$B$2:$B$532,MATCH($A348,Listone!$A$2:$A$532,0)),"?"))</f>
        <v/>
      </c>
      <c r="C348" s="2">
        <f>IF($A348="","",IFERROR(INDEX(Listone!$C$2:$C$532,MATCH($A348,Listone!$A$2:$A$532,0)),""))</f>
        <v/>
      </c>
      <c r="D348" s="2">
        <f>IF($A348="","",IFERROR(INDEX(Listone!$D$2:$D$532,MATCH($A348,Listone!$A$2:$A$532,0)),""))</f>
        <v/>
      </c>
      <c r="E348" s="2">
        <f>IF($A348="","",IFERROR(INDEX(Listone!$G$2:$G$532,MATCH($A348,Listone!$A$2:$A$532,0)),""))</f>
        <v/>
      </c>
      <c r="F348" s="8" t="n"/>
      <c r="G348" s="8" t="n"/>
      <c r="H348" s="7">
        <f>IF(OR($A348="",$F348=""),"",$F348&amp;"|"&amp;$C348)</f>
        <v/>
      </c>
      <c r="I348" s="7">
        <f>IF($H348="","",COUNTIF($H$4:$H348,$H348))</f>
        <v/>
      </c>
      <c r="J348" s="7">
        <f>IF($H348="","",$H348&amp;"|"&amp;$I348)</f>
        <v/>
      </c>
    </row>
    <row r="349">
      <c r="A349" s="8" t="n"/>
      <c r="B349" s="2">
        <f>IF($A349="","",IFERROR(INDEX(Listone!$B$2:$B$532,MATCH($A349,Listone!$A$2:$A$532,0)),"?"))</f>
        <v/>
      </c>
      <c r="C349" s="2">
        <f>IF($A349="","",IFERROR(INDEX(Listone!$C$2:$C$532,MATCH($A349,Listone!$A$2:$A$532,0)),""))</f>
        <v/>
      </c>
      <c r="D349" s="2">
        <f>IF($A349="","",IFERROR(INDEX(Listone!$D$2:$D$532,MATCH($A349,Listone!$A$2:$A$532,0)),""))</f>
        <v/>
      </c>
      <c r="E349" s="2">
        <f>IF($A349="","",IFERROR(INDEX(Listone!$G$2:$G$532,MATCH($A349,Listone!$A$2:$A$532,0)),""))</f>
        <v/>
      </c>
      <c r="F349" s="8" t="n"/>
      <c r="G349" s="8" t="n"/>
      <c r="H349" s="7">
        <f>IF(OR($A349="",$F349=""),"",$F349&amp;"|"&amp;$C349)</f>
        <v/>
      </c>
      <c r="I349" s="7">
        <f>IF($H349="","",COUNTIF($H$4:$H349,$H349))</f>
        <v/>
      </c>
      <c r="J349" s="7">
        <f>IF($H349="","",$H349&amp;"|"&amp;$I349)</f>
        <v/>
      </c>
    </row>
    <row r="350">
      <c r="A350" s="8" t="n"/>
      <c r="B350" s="2">
        <f>IF($A350="","",IFERROR(INDEX(Listone!$B$2:$B$532,MATCH($A350,Listone!$A$2:$A$532,0)),"?"))</f>
        <v/>
      </c>
      <c r="C350" s="2">
        <f>IF($A350="","",IFERROR(INDEX(Listone!$C$2:$C$532,MATCH($A350,Listone!$A$2:$A$532,0)),""))</f>
        <v/>
      </c>
      <c r="D350" s="2">
        <f>IF($A350="","",IFERROR(INDEX(Listone!$D$2:$D$532,MATCH($A350,Listone!$A$2:$A$532,0)),""))</f>
        <v/>
      </c>
      <c r="E350" s="2">
        <f>IF($A350="","",IFERROR(INDEX(Listone!$G$2:$G$532,MATCH($A350,Listone!$A$2:$A$532,0)),""))</f>
        <v/>
      </c>
      <c r="F350" s="8" t="n"/>
      <c r="G350" s="8" t="n"/>
      <c r="H350" s="7">
        <f>IF(OR($A350="",$F350=""),"",$F350&amp;"|"&amp;$C350)</f>
        <v/>
      </c>
      <c r="I350" s="7">
        <f>IF($H350="","",COUNTIF($H$4:$H350,$H350))</f>
        <v/>
      </c>
      <c r="J350" s="7">
        <f>IF($H350="","",$H350&amp;"|"&amp;$I350)</f>
        <v/>
      </c>
    </row>
    <row r="351">
      <c r="A351" s="8" t="n"/>
      <c r="B351" s="2">
        <f>IF($A351="","",IFERROR(INDEX(Listone!$B$2:$B$532,MATCH($A351,Listone!$A$2:$A$532,0)),"?"))</f>
        <v/>
      </c>
      <c r="C351" s="2">
        <f>IF($A351="","",IFERROR(INDEX(Listone!$C$2:$C$532,MATCH($A351,Listone!$A$2:$A$532,0)),""))</f>
        <v/>
      </c>
      <c r="D351" s="2">
        <f>IF($A351="","",IFERROR(INDEX(Listone!$D$2:$D$532,MATCH($A351,Listone!$A$2:$A$532,0)),""))</f>
        <v/>
      </c>
      <c r="E351" s="2">
        <f>IF($A351="","",IFERROR(INDEX(Listone!$G$2:$G$532,MATCH($A351,Listone!$A$2:$A$532,0)),""))</f>
        <v/>
      </c>
      <c r="F351" s="8" t="n"/>
      <c r="G351" s="8" t="n"/>
      <c r="H351" s="7">
        <f>IF(OR($A351="",$F351=""),"",$F351&amp;"|"&amp;$C351)</f>
        <v/>
      </c>
      <c r="I351" s="7">
        <f>IF($H351="","",COUNTIF($H$4:$H351,$H351))</f>
        <v/>
      </c>
      <c r="J351" s="7">
        <f>IF($H351="","",$H351&amp;"|"&amp;$I351)</f>
        <v/>
      </c>
    </row>
    <row r="352">
      <c r="A352" s="8" t="n"/>
      <c r="B352" s="2">
        <f>IF($A352="","",IFERROR(INDEX(Listone!$B$2:$B$532,MATCH($A352,Listone!$A$2:$A$532,0)),"?"))</f>
        <v/>
      </c>
      <c r="C352" s="2">
        <f>IF($A352="","",IFERROR(INDEX(Listone!$C$2:$C$532,MATCH($A352,Listone!$A$2:$A$532,0)),""))</f>
        <v/>
      </c>
      <c r="D352" s="2">
        <f>IF($A352="","",IFERROR(INDEX(Listone!$D$2:$D$532,MATCH($A352,Listone!$A$2:$A$532,0)),""))</f>
        <v/>
      </c>
      <c r="E352" s="2">
        <f>IF($A352="","",IFERROR(INDEX(Listone!$G$2:$G$532,MATCH($A352,Listone!$A$2:$A$532,0)),""))</f>
        <v/>
      </c>
      <c r="F352" s="8" t="n"/>
      <c r="G352" s="8" t="n"/>
      <c r="H352" s="7">
        <f>IF(OR($A352="",$F352=""),"",$F352&amp;"|"&amp;$C352)</f>
        <v/>
      </c>
      <c r="I352" s="7">
        <f>IF($H352="","",COUNTIF($H$4:$H352,$H352))</f>
        <v/>
      </c>
      <c r="J352" s="7">
        <f>IF($H352="","",$H352&amp;"|"&amp;$I352)</f>
        <v/>
      </c>
    </row>
    <row r="353">
      <c r="A353" s="8" t="n"/>
      <c r="B353" s="2">
        <f>IF($A353="","",IFERROR(INDEX(Listone!$B$2:$B$532,MATCH($A353,Listone!$A$2:$A$532,0)),"?"))</f>
        <v/>
      </c>
      <c r="C353" s="2">
        <f>IF($A353="","",IFERROR(INDEX(Listone!$C$2:$C$532,MATCH($A353,Listone!$A$2:$A$532,0)),""))</f>
        <v/>
      </c>
      <c r="D353" s="2">
        <f>IF($A353="","",IFERROR(INDEX(Listone!$D$2:$D$532,MATCH($A353,Listone!$A$2:$A$532,0)),""))</f>
        <v/>
      </c>
      <c r="E353" s="2">
        <f>IF($A353="","",IFERROR(INDEX(Listone!$G$2:$G$532,MATCH($A353,Listone!$A$2:$A$532,0)),""))</f>
        <v/>
      </c>
      <c r="F353" s="8" t="n"/>
      <c r="G353" s="8" t="n"/>
      <c r="H353" s="7">
        <f>IF(OR($A353="",$F353=""),"",$F353&amp;"|"&amp;$C353)</f>
        <v/>
      </c>
      <c r="I353" s="7">
        <f>IF($H353="","",COUNTIF($H$4:$H353,$H353))</f>
        <v/>
      </c>
      <c r="J353" s="7">
        <f>IF($H353="","",$H353&amp;"|"&amp;$I353)</f>
        <v/>
      </c>
    </row>
    <row r="354">
      <c r="A354" s="8" t="n"/>
      <c r="B354" s="2">
        <f>IF($A354="","",IFERROR(INDEX(Listone!$B$2:$B$532,MATCH($A354,Listone!$A$2:$A$532,0)),"?"))</f>
        <v/>
      </c>
      <c r="C354" s="2">
        <f>IF($A354="","",IFERROR(INDEX(Listone!$C$2:$C$532,MATCH($A354,Listone!$A$2:$A$532,0)),""))</f>
        <v/>
      </c>
      <c r="D354" s="2">
        <f>IF($A354="","",IFERROR(INDEX(Listone!$D$2:$D$532,MATCH($A354,Listone!$A$2:$A$532,0)),""))</f>
        <v/>
      </c>
      <c r="E354" s="2">
        <f>IF($A354="","",IFERROR(INDEX(Listone!$G$2:$G$532,MATCH($A354,Listone!$A$2:$A$532,0)),""))</f>
        <v/>
      </c>
      <c r="F354" s="8" t="n"/>
      <c r="G354" s="8" t="n"/>
      <c r="H354" s="7">
        <f>IF(OR($A354="",$F354=""),"",$F354&amp;"|"&amp;$C354)</f>
        <v/>
      </c>
      <c r="I354" s="7">
        <f>IF($H354="","",COUNTIF($H$4:$H354,$H354))</f>
        <v/>
      </c>
      <c r="J354" s="7">
        <f>IF($H354="","",$H354&amp;"|"&amp;$I354)</f>
        <v/>
      </c>
    </row>
    <row r="355">
      <c r="A355" s="8" t="n"/>
      <c r="B355" s="2">
        <f>IF($A355="","",IFERROR(INDEX(Listone!$B$2:$B$532,MATCH($A355,Listone!$A$2:$A$532,0)),"?"))</f>
        <v/>
      </c>
      <c r="C355" s="2">
        <f>IF($A355="","",IFERROR(INDEX(Listone!$C$2:$C$532,MATCH($A355,Listone!$A$2:$A$532,0)),""))</f>
        <v/>
      </c>
      <c r="D355" s="2">
        <f>IF($A355="","",IFERROR(INDEX(Listone!$D$2:$D$532,MATCH($A355,Listone!$A$2:$A$532,0)),""))</f>
        <v/>
      </c>
      <c r="E355" s="2">
        <f>IF($A355="","",IFERROR(INDEX(Listone!$G$2:$G$532,MATCH($A355,Listone!$A$2:$A$532,0)),""))</f>
        <v/>
      </c>
      <c r="F355" s="8" t="n"/>
      <c r="G355" s="8" t="n"/>
      <c r="H355" s="7">
        <f>IF(OR($A355="",$F355=""),"",$F355&amp;"|"&amp;$C355)</f>
        <v/>
      </c>
      <c r="I355" s="7">
        <f>IF($H355="","",COUNTIF($H$4:$H355,$H355))</f>
        <v/>
      </c>
      <c r="J355" s="7">
        <f>IF($H355="","",$H355&amp;"|"&amp;$I355)</f>
        <v/>
      </c>
    </row>
    <row r="356">
      <c r="A356" s="8" t="n"/>
      <c r="B356" s="2">
        <f>IF($A356="","",IFERROR(INDEX(Listone!$B$2:$B$532,MATCH($A356,Listone!$A$2:$A$532,0)),"?"))</f>
        <v/>
      </c>
      <c r="C356" s="2">
        <f>IF($A356="","",IFERROR(INDEX(Listone!$C$2:$C$532,MATCH($A356,Listone!$A$2:$A$532,0)),""))</f>
        <v/>
      </c>
      <c r="D356" s="2">
        <f>IF($A356="","",IFERROR(INDEX(Listone!$D$2:$D$532,MATCH($A356,Listone!$A$2:$A$532,0)),""))</f>
        <v/>
      </c>
      <c r="E356" s="2">
        <f>IF($A356="","",IFERROR(INDEX(Listone!$G$2:$G$532,MATCH($A356,Listone!$A$2:$A$532,0)),""))</f>
        <v/>
      </c>
      <c r="F356" s="8" t="n"/>
      <c r="G356" s="8" t="n"/>
      <c r="H356" s="7">
        <f>IF(OR($A356="",$F356=""),"",$F356&amp;"|"&amp;$C356)</f>
        <v/>
      </c>
      <c r="I356" s="7">
        <f>IF($H356="","",COUNTIF($H$4:$H356,$H356))</f>
        <v/>
      </c>
      <c r="J356" s="7">
        <f>IF($H356="","",$H356&amp;"|"&amp;$I356)</f>
        <v/>
      </c>
    </row>
    <row r="357">
      <c r="A357" s="8" t="n"/>
      <c r="B357" s="2">
        <f>IF($A357="","",IFERROR(INDEX(Listone!$B$2:$B$532,MATCH($A357,Listone!$A$2:$A$532,0)),"?"))</f>
        <v/>
      </c>
      <c r="C357" s="2">
        <f>IF($A357="","",IFERROR(INDEX(Listone!$C$2:$C$532,MATCH($A357,Listone!$A$2:$A$532,0)),""))</f>
        <v/>
      </c>
      <c r="D357" s="2">
        <f>IF($A357="","",IFERROR(INDEX(Listone!$D$2:$D$532,MATCH($A357,Listone!$A$2:$A$532,0)),""))</f>
        <v/>
      </c>
      <c r="E357" s="2">
        <f>IF($A357="","",IFERROR(INDEX(Listone!$G$2:$G$532,MATCH($A357,Listone!$A$2:$A$532,0)),""))</f>
        <v/>
      </c>
      <c r="F357" s="8" t="n"/>
      <c r="G357" s="8" t="n"/>
      <c r="H357" s="7">
        <f>IF(OR($A357="",$F357=""),"",$F357&amp;"|"&amp;$C357)</f>
        <v/>
      </c>
      <c r="I357" s="7">
        <f>IF($H357="","",COUNTIF($H$4:$H357,$H357))</f>
        <v/>
      </c>
      <c r="J357" s="7">
        <f>IF($H357="","",$H357&amp;"|"&amp;$I357)</f>
        <v/>
      </c>
    </row>
    <row r="358">
      <c r="A358" s="8" t="n"/>
      <c r="B358" s="2">
        <f>IF($A358="","",IFERROR(INDEX(Listone!$B$2:$B$532,MATCH($A358,Listone!$A$2:$A$532,0)),"?"))</f>
        <v/>
      </c>
      <c r="C358" s="2">
        <f>IF($A358="","",IFERROR(INDEX(Listone!$C$2:$C$532,MATCH($A358,Listone!$A$2:$A$532,0)),""))</f>
        <v/>
      </c>
      <c r="D358" s="2">
        <f>IF($A358="","",IFERROR(INDEX(Listone!$D$2:$D$532,MATCH($A358,Listone!$A$2:$A$532,0)),""))</f>
        <v/>
      </c>
      <c r="E358" s="2">
        <f>IF($A358="","",IFERROR(INDEX(Listone!$G$2:$G$532,MATCH($A358,Listone!$A$2:$A$532,0)),""))</f>
        <v/>
      </c>
      <c r="F358" s="8" t="n"/>
      <c r="G358" s="8" t="n"/>
      <c r="H358" s="7">
        <f>IF(OR($A358="",$F358=""),"",$F358&amp;"|"&amp;$C358)</f>
        <v/>
      </c>
      <c r="I358" s="7">
        <f>IF($H358="","",COUNTIF($H$4:$H358,$H358))</f>
        <v/>
      </c>
      <c r="J358" s="7">
        <f>IF($H358="","",$H358&amp;"|"&amp;$I358)</f>
        <v/>
      </c>
    </row>
    <row r="359">
      <c r="A359" s="8" t="n"/>
      <c r="B359" s="2">
        <f>IF($A359="","",IFERROR(INDEX(Listone!$B$2:$B$532,MATCH($A359,Listone!$A$2:$A$532,0)),"?"))</f>
        <v/>
      </c>
      <c r="C359" s="2">
        <f>IF($A359="","",IFERROR(INDEX(Listone!$C$2:$C$532,MATCH($A359,Listone!$A$2:$A$532,0)),""))</f>
        <v/>
      </c>
      <c r="D359" s="2">
        <f>IF($A359="","",IFERROR(INDEX(Listone!$D$2:$D$532,MATCH($A359,Listone!$A$2:$A$532,0)),""))</f>
        <v/>
      </c>
      <c r="E359" s="2">
        <f>IF($A359="","",IFERROR(INDEX(Listone!$G$2:$G$532,MATCH($A359,Listone!$A$2:$A$532,0)),""))</f>
        <v/>
      </c>
      <c r="F359" s="8" t="n"/>
      <c r="G359" s="8" t="n"/>
      <c r="H359" s="7">
        <f>IF(OR($A359="",$F359=""),"",$F359&amp;"|"&amp;$C359)</f>
        <v/>
      </c>
      <c r="I359" s="7">
        <f>IF($H359="","",COUNTIF($H$4:$H359,$H359))</f>
        <v/>
      </c>
      <c r="J359" s="7">
        <f>IF($H359="","",$H359&amp;"|"&amp;$I359)</f>
        <v/>
      </c>
    </row>
    <row r="360">
      <c r="A360" s="8" t="n"/>
      <c r="B360" s="2">
        <f>IF($A360="","",IFERROR(INDEX(Listone!$B$2:$B$532,MATCH($A360,Listone!$A$2:$A$532,0)),"?"))</f>
        <v/>
      </c>
      <c r="C360" s="2">
        <f>IF($A360="","",IFERROR(INDEX(Listone!$C$2:$C$532,MATCH($A360,Listone!$A$2:$A$532,0)),""))</f>
        <v/>
      </c>
      <c r="D360" s="2">
        <f>IF($A360="","",IFERROR(INDEX(Listone!$D$2:$D$532,MATCH($A360,Listone!$A$2:$A$532,0)),""))</f>
        <v/>
      </c>
      <c r="E360" s="2">
        <f>IF($A360="","",IFERROR(INDEX(Listone!$G$2:$G$532,MATCH($A360,Listone!$A$2:$A$532,0)),""))</f>
        <v/>
      </c>
      <c r="F360" s="8" t="n"/>
      <c r="G360" s="8" t="n"/>
      <c r="H360" s="7">
        <f>IF(OR($A360="",$F360=""),"",$F360&amp;"|"&amp;$C360)</f>
        <v/>
      </c>
      <c r="I360" s="7">
        <f>IF($H360="","",COUNTIF($H$4:$H360,$H360))</f>
        <v/>
      </c>
      <c r="J360" s="7">
        <f>IF($H360="","",$H360&amp;"|"&amp;$I360)</f>
        <v/>
      </c>
    </row>
    <row r="361">
      <c r="A361" s="8" t="n"/>
      <c r="B361" s="2">
        <f>IF($A361="","",IFERROR(INDEX(Listone!$B$2:$B$532,MATCH($A361,Listone!$A$2:$A$532,0)),"?"))</f>
        <v/>
      </c>
      <c r="C361" s="2">
        <f>IF($A361="","",IFERROR(INDEX(Listone!$C$2:$C$532,MATCH($A361,Listone!$A$2:$A$532,0)),""))</f>
        <v/>
      </c>
      <c r="D361" s="2">
        <f>IF($A361="","",IFERROR(INDEX(Listone!$D$2:$D$532,MATCH($A361,Listone!$A$2:$A$532,0)),""))</f>
        <v/>
      </c>
      <c r="E361" s="2">
        <f>IF($A361="","",IFERROR(INDEX(Listone!$G$2:$G$532,MATCH($A361,Listone!$A$2:$A$532,0)),""))</f>
        <v/>
      </c>
      <c r="F361" s="8" t="n"/>
      <c r="G361" s="8" t="n"/>
      <c r="H361" s="7">
        <f>IF(OR($A361="",$F361=""),"",$F361&amp;"|"&amp;$C361)</f>
        <v/>
      </c>
      <c r="I361" s="7">
        <f>IF($H361="","",COUNTIF($H$4:$H361,$H361))</f>
        <v/>
      </c>
      <c r="J361" s="7">
        <f>IF($H361="","",$H361&amp;"|"&amp;$I361)</f>
        <v/>
      </c>
    </row>
    <row r="362">
      <c r="A362" s="8" t="n"/>
      <c r="B362" s="2">
        <f>IF($A362="","",IFERROR(INDEX(Listone!$B$2:$B$532,MATCH($A362,Listone!$A$2:$A$532,0)),"?"))</f>
        <v/>
      </c>
      <c r="C362" s="2">
        <f>IF($A362="","",IFERROR(INDEX(Listone!$C$2:$C$532,MATCH($A362,Listone!$A$2:$A$532,0)),""))</f>
        <v/>
      </c>
      <c r="D362" s="2">
        <f>IF($A362="","",IFERROR(INDEX(Listone!$D$2:$D$532,MATCH($A362,Listone!$A$2:$A$532,0)),""))</f>
        <v/>
      </c>
      <c r="E362" s="2">
        <f>IF($A362="","",IFERROR(INDEX(Listone!$G$2:$G$532,MATCH($A362,Listone!$A$2:$A$532,0)),""))</f>
        <v/>
      </c>
      <c r="F362" s="8" t="n"/>
      <c r="G362" s="8" t="n"/>
      <c r="H362" s="7">
        <f>IF(OR($A362="",$F362=""),"",$F362&amp;"|"&amp;$C362)</f>
        <v/>
      </c>
      <c r="I362" s="7">
        <f>IF($H362="","",COUNTIF($H$4:$H362,$H362))</f>
        <v/>
      </c>
      <c r="J362" s="7">
        <f>IF($H362="","",$H362&amp;"|"&amp;$I362)</f>
        <v/>
      </c>
    </row>
    <row r="363">
      <c r="A363" s="8" t="n"/>
      <c r="B363" s="2">
        <f>IF($A363="","",IFERROR(INDEX(Listone!$B$2:$B$532,MATCH($A363,Listone!$A$2:$A$532,0)),"?"))</f>
        <v/>
      </c>
      <c r="C363" s="2">
        <f>IF($A363="","",IFERROR(INDEX(Listone!$C$2:$C$532,MATCH($A363,Listone!$A$2:$A$532,0)),""))</f>
        <v/>
      </c>
      <c r="D363" s="2">
        <f>IF($A363="","",IFERROR(INDEX(Listone!$D$2:$D$532,MATCH($A363,Listone!$A$2:$A$532,0)),""))</f>
        <v/>
      </c>
      <c r="E363" s="2">
        <f>IF($A363="","",IFERROR(INDEX(Listone!$G$2:$G$532,MATCH($A363,Listone!$A$2:$A$532,0)),""))</f>
        <v/>
      </c>
      <c r="F363" s="8" t="n"/>
      <c r="G363" s="8" t="n"/>
      <c r="H363" s="7">
        <f>IF(OR($A363="",$F363=""),"",$F363&amp;"|"&amp;$C363)</f>
        <v/>
      </c>
      <c r="I363" s="7">
        <f>IF($H363="","",COUNTIF($H$4:$H363,$H363))</f>
        <v/>
      </c>
      <c r="J363" s="7">
        <f>IF($H363="","",$H363&amp;"|"&amp;$I363)</f>
        <v/>
      </c>
    </row>
    <row r="364">
      <c r="A364" s="8" t="n"/>
      <c r="B364" s="2">
        <f>IF($A364="","",IFERROR(INDEX(Listone!$B$2:$B$532,MATCH($A364,Listone!$A$2:$A$532,0)),"?"))</f>
        <v/>
      </c>
      <c r="C364" s="2">
        <f>IF($A364="","",IFERROR(INDEX(Listone!$C$2:$C$532,MATCH($A364,Listone!$A$2:$A$532,0)),""))</f>
        <v/>
      </c>
      <c r="D364" s="2">
        <f>IF($A364="","",IFERROR(INDEX(Listone!$D$2:$D$532,MATCH($A364,Listone!$A$2:$A$532,0)),""))</f>
        <v/>
      </c>
      <c r="E364" s="2">
        <f>IF($A364="","",IFERROR(INDEX(Listone!$G$2:$G$532,MATCH($A364,Listone!$A$2:$A$532,0)),""))</f>
        <v/>
      </c>
      <c r="F364" s="8" t="n"/>
      <c r="G364" s="8" t="n"/>
      <c r="H364" s="7">
        <f>IF(OR($A364="",$F364=""),"",$F364&amp;"|"&amp;$C364)</f>
        <v/>
      </c>
      <c r="I364" s="7">
        <f>IF($H364="","",COUNTIF($H$4:$H364,$H364))</f>
        <v/>
      </c>
      <c r="J364" s="7">
        <f>IF($H364="","",$H364&amp;"|"&amp;$I364)</f>
        <v/>
      </c>
    </row>
    <row r="365">
      <c r="A365" s="8" t="n"/>
      <c r="B365" s="2">
        <f>IF($A365="","",IFERROR(INDEX(Listone!$B$2:$B$532,MATCH($A365,Listone!$A$2:$A$532,0)),"?"))</f>
        <v/>
      </c>
      <c r="C365" s="2">
        <f>IF($A365="","",IFERROR(INDEX(Listone!$C$2:$C$532,MATCH($A365,Listone!$A$2:$A$532,0)),""))</f>
        <v/>
      </c>
      <c r="D365" s="2">
        <f>IF($A365="","",IFERROR(INDEX(Listone!$D$2:$D$532,MATCH($A365,Listone!$A$2:$A$532,0)),""))</f>
        <v/>
      </c>
      <c r="E365" s="2">
        <f>IF($A365="","",IFERROR(INDEX(Listone!$G$2:$G$532,MATCH($A365,Listone!$A$2:$A$532,0)),""))</f>
        <v/>
      </c>
      <c r="F365" s="8" t="n"/>
      <c r="G365" s="8" t="n"/>
      <c r="H365" s="7">
        <f>IF(OR($A365="",$F365=""),"",$F365&amp;"|"&amp;$C365)</f>
        <v/>
      </c>
      <c r="I365" s="7">
        <f>IF($H365="","",COUNTIF($H$4:$H365,$H365))</f>
        <v/>
      </c>
      <c r="J365" s="7">
        <f>IF($H365="","",$H365&amp;"|"&amp;$I365)</f>
        <v/>
      </c>
    </row>
    <row r="366">
      <c r="A366" s="8" t="n"/>
      <c r="B366" s="2">
        <f>IF($A366="","",IFERROR(INDEX(Listone!$B$2:$B$532,MATCH($A366,Listone!$A$2:$A$532,0)),"?"))</f>
        <v/>
      </c>
      <c r="C366" s="2">
        <f>IF($A366="","",IFERROR(INDEX(Listone!$C$2:$C$532,MATCH($A366,Listone!$A$2:$A$532,0)),""))</f>
        <v/>
      </c>
      <c r="D366" s="2">
        <f>IF($A366="","",IFERROR(INDEX(Listone!$D$2:$D$532,MATCH($A366,Listone!$A$2:$A$532,0)),""))</f>
        <v/>
      </c>
      <c r="E366" s="2">
        <f>IF($A366="","",IFERROR(INDEX(Listone!$G$2:$G$532,MATCH($A366,Listone!$A$2:$A$532,0)),""))</f>
        <v/>
      </c>
      <c r="F366" s="8" t="n"/>
      <c r="G366" s="8" t="n"/>
      <c r="H366" s="7">
        <f>IF(OR($A366="",$F366=""),"",$F366&amp;"|"&amp;$C366)</f>
        <v/>
      </c>
      <c r="I366" s="7">
        <f>IF($H366="","",COUNTIF($H$4:$H366,$H366))</f>
        <v/>
      </c>
      <c r="J366" s="7">
        <f>IF($H366="","",$H366&amp;"|"&amp;$I366)</f>
        <v/>
      </c>
    </row>
    <row r="367">
      <c r="A367" s="8" t="n"/>
      <c r="B367" s="2">
        <f>IF($A367="","",IFERROR(INDEX(Listone!$B$2:$B$532,MATCH($A367,Listone!$A$2:$A$532,0)),"?"))</f>
        <v/>
      </c>
      <c r="C367" s="2">
        <f>IF($A367="","",IFERROR(INDEX(Listone!$C$2:$C$532,MATCH($A367,Listone!$A$2:$A$532,0)),""))</f>
        <v/>
      </c>
      <c r="D367" s="2">
        <f>IF($A367="","",IFERROR(INDEX(Listone!$D$2:$D$532,MATCH($A367,Listone!$A$2:$A$532,0)),""))</f>
        <v/>
      </c>
      <c r="E367" s="2">
        <f>IF($A367="","",IFERROR(INDEX(Listone!$G$2:$G$532,MATCH($A367,Listone!$A$2:$A$532,0)),""))</f>
        <v/>
      </c>
      <c r="F367" s="8" t="n"/>
      <c r="G367" s="8" t="n"/>
      <c r="H367" s="7">
        <f>IF(OR($A367="",$F367=""),"",$F367&amp;"|"&amp;$C367)</f>
        <v/>
      </c>
      <c r="I367" s="7">
        <f>IF($H367="","",COUNTIF($H$4:$H367,$H367))</f>
        <v/>
      </c>
      <c r="J367" s="7">
        <f>IF($H367="","",$H367&amp;"|"&amp;$I367)</f>
        <v/>
      </c>
    </row>
    <row r="368">
      <c r="A368" s="8" t="n"/>
      <c r="B368" s="2">
        <f>IF($A368="","",IFERROR(INDEX(Listone!$B$2:$B$532,MATCH($A368,Listone!$A$2:$A$532,0)),"?"))</f>
        <v/>
      </c>
      <c r="C368" s="2">
        <f>IF($A368="","",IFERROR(INDEX(Listone!$C$2:$C$532,MATCH($A368,Listone!$A$2:$A$532,0)),""))</f>
        <v/>
      </c>
      <c r="D368" s="2">
        <f>IF($A368="","",IFERROR(INDEX(Listone!$D$2:$D$532,MATCH($A368,Listone!$A$2:$A$532,0)),""))</f>
        <v/>
      </c>
      <c r="E368" s="2">
        <f>IF($A368="","",IFERROR(INDEX(Listone!$G$2:$G$532,MATCH($A368,Listone!$A$2:$A$532,0)),""))</f>
        <v/>
      </c>
      <c r="F368" s="8" t="n"/>
      <c r="G368" s="8" t="n"/>
      <c r="H368" s="7">
        <f>IF(OR($A368="",$F368=""),"",$F368&amp;"|"&amp;$C368)</f>
        <v/>
      </c>
      <c r="I368" s="7">
        <f>IF($H368="","",COUNTIF($H$4:$H368,$H368))</f>
        <v/>
      </c>
      <c r="J368" s="7">
        <f>IF($H368="","",$H368&amp;"|"&amp;$I368)</f>
        <v/>
      </c>
    </row>
    <row r="369">
      <c r="A369" s="8" t="n"/>
      <c r="B369" s="2">
        <f>IF($A369="","",IFERROR(INDEX(Listone!$B$2:$B$532,MATCH($A369,Listone!$A$2:$A$532,0)),"?"))</f>
        <v/>
      </c>
      <c r="C369" s="2">
        <f>IF($A369="","",IFERROR(INDEX(Listone!$C$2:$C$532,MATCH($A369,Listone!$A$2:$A$532,0)),""))</f>
        <v/>
      </c>
      <c r="D369" s="2">
        <f>IF($A369="","",IFERROR(INDEX(Listone!$D$2:$D$532,MATCH($A369,Listone!$A$2:$A$532,0)),""))</f>
        <v/>
      </c>
      <c r="E369" s="2">
        <f>IF($A369="","",IFERROR(INDEX(Listone!$G$2:$G$532,MATCH($A369,Listone!$A$2:$A$532,0)),""))</f>
        <v/>
      </c>
      <c r="F369" s="8" t="n"/>
      <c r="G369" s="8" t="n"/>
      <c r="H369" s="7">
        <f>IF(OR($A369="",$F369=""),"",$F369&amp;"|"&amp;$C369)</f>
        <v/>
      </c>
      <c r="I369" s="7">
        <f>IF($H369="","",COUNTIF($H$4:$H369,$H369))</f>
        <v/>
      </c>
      <c r="J369" s="7">
        <f>IF($H369="","",$H369&amp;"|"&amp;$I369)</f>
        <v/>
      </c>
    </row>
    <row r="370">
      <c r="A370" s="8" t="n"/>
      <c r="B370" s="2">
        <f>IF($A370="","",IFERROR(INDEX(Listone!$B$2:$B$532,MATCH($A370,Listone!$A$2:$A$532,0)),"?"))</f>
        <v/>
      </c>
      <c r="C370" s="2">
        <f>IF($A370="","",IFERROR(INDEX(Listone!$C$2:$C$532,MATCH($A370,Listone!$A$2:$A$532,0)),""))</f>
        <v/>
      </c>
      <c r="D370" s="2">
        <f>IF($A370="","",IFERROR(INDEX(Listone!$D$2:$D$532,MATCH($A370,Listone!$A$2:$A$532,0)),""))</f>
        <v/>
      </c>
      <c r="E370" s="2">
        <f>IF($A370="","",IFERROR(INDEX(Listone!$G$2:$G$532,MATCH($A370,Listone!$A$2:$A$532,0)),""))</f>
        <v/>
      </c>
      <c r="F370" s="8" t="n"/>
      <c r="G370" s="8" t="n"/>
      <c r="H370" s="7">
        <f>IF(OR($A370="",$F370=""),"",$F370&amp;"|"&amp;$C370)</f>
        <v/>
      </c>
      <c r="I370" s="7">
        <f>IF($H370="","",COUNTIF($H$4:$H370,$H370))</f>
        <v/>
      </c>
      <c r="J370" s="7">
        <f>IF($H370="","",$H370&amp;"|"&amp;$I370)</f>
        <v/>
      </c>
    </row>
    <row r="371">
      <c r="A371" s="8" t="n"/>
      <c r="B371" s="2">
        <f>IF($A371="","",IFERROR(INDEX(Listone!$B$2:$B$532,MATCH($A371,Listone!$A$2:$A$532,0)),"?"))</f>
        <v/>
      </c>
      <c r="C371" s="2">
        <f>IF($A371="","",IFERROR(INDEX(Listone!$C$2:$C$532,MATCH($A371,Listone!$A$2:$A$532,0)),""))</f>
        <v/>
      </c>
      <c r="D371" s="2">
        <f>IF($A371="","",IFERROR(INDEX(Listone!$D$2:$D$532,MATCH($A371,Listone!$A$2:$A$532,0)),""))</f>
        <v/>
      </c>
      <c r="E371" s="2">
        <f>IF($A371="","",IFERROR(INDEX(Listone!$G$2:$G$532,MATCH($A371,Listone!$A$2:$A$532,0)),""))</f>
        <v/>
      </c>
      <c r="F371" s="8" t="n"/>
      <c r="G371" s="8" t="n"/>
      <c r="H371" s="7">
        <f>IF(OR($A371="",$F371=""),"",$F371&amp;"|"&amp;$C371)</f>
        <v/>
      </c>
      <c r="I371" s="7">
        <f>IF($H371="","",COUNTIF($H$4:$H371,$H371))</f>
        <v/>
      </c>
      <c r="J371" s="7">
        <f>IF($H371="","",$H371&amp;"|"&amp;$I371)</f>
        <v/>
      </c>
    </row>
    <row r="372">
      <c r="A372" s="8" t="n"/>
      <c r="B372" s="2">
        <f>IF($A372="","",IFERROR(INDEX(Listone!$B$2:$B$532,MATCH($A372,Listone!$A$2:$A$532,0)),"?"))</f>
        <v/>
      </c>
      <c r="C372" s="2">
        <f>IF($A372="","",IFERROR(INDEX(Listone!$C$2:$C$532,MATCH($A372,Listone!$A$2:$A$532,0)),""))</f>
        <v/>
      </c>
      <c r="D372" s="2">
        <f>IF($A372="","",IFERROR(INDEX(Listone!$D$2:$D$532,MATCH($A372,Listone!$A$2:$A$532,0)),""))</f>
        <v/>
      </c>
      <c r="E372" s="2">
        <f>IF($A372="","",IFERROR(INDEX(Listone!$G$2:$G$532,MATCH($A372,Listone!$A$2:$A$532,0)),""))</f>
        <v/>
      </c>
      <c r="F372" s="8" t="n"/>
      <c r="G372" s="8" t="n"/>
      <c r="H372" s="7">
        <f>IF(OR($A372="",$F372=""),"",$F372&amp;"|"&amp;$C372)</f>
        <v/>
      </c>
      <c r="I372" s="7">
        <f>IF($H372="","",COUNTIF($H$4:$H372,$H372))</f>
        <v/>
      </c>
      <c r="J372" s="7">
        <f>IF($H372="","",$H372&amp;"|"&amp;$I372)</f>
        <v/>
      </c>
    </row>
    <row r="373">
      <c r="A373" s="8" t="n"/>
      <c r="B373" s="2">
        <f>IF($A373="","",IFERROR(INDEX(Listone!$B$2:$B$532,MATCH($A373,Listone!$A$2:$A$532,0)),"?"))</f>
        <v/>
      </c>
      <c r="C373" s="2">
        <f>IF($A373="","",IFERROR(INDEX(Listone!$C$2:$C$532,MATCH($A373,Listone!$A$2:$A$532,0)),""))</f>
        <v/>
      </c>
      <c r="D373" s="2">
        <f>IF($A373="","",IFERROR(INDEX(Listone!$D$2:$D$532,MATCH($A373,Listone!$A$2:$A$532,0)),""))</f>
        <v/>
      </c>
      <c r="E373" s="2">
        <f>IF($A373="","",IFERROR(INDEX(Listone!$G$2:$G$532,MATCH($A373,Listone!$A$2:$A$532,0)),""))</f>
        <v/>
      </c>
      <c r="F373" s="8" t="n"/>
      <c r="G373" s="8" t="n"/>
      <c r="H373" s="7">
        <f>IF(OR($A373="",$F373=""),"",$F373&amp;"|"&amp;$C373)</f>
        <v/>
      </c>
      <c r="I373" s="7">
        <f>IF($H373="","",COUNTIF($H$4:$H373,$H373))</f>
        <v/>
      </c>
      <c r="J373" s="7">
        <f>IF($H373="","",$H373&amp;"|"&amp;$I373)</f>
        <v/>
      </c>
    </row>
    <row r="374">
      <c r="A374" s="8" t="n"/>
      <c r="B374" s="2">
        <f>IF($A374="","",IFERROR(INDEX(Listone!$B$2:$B$532,MATCH($A374,Listone!$A$2:$A$532,0)),"?"))</f>
        <v/>
      </c>
      <c r="C374" s="2">
        <f>IF($A374="","",IFERROR(INDEX(Listone!$C$2:$C$532,MATCH($A374,Listone!$A$2:$A$532,0)),""))</f>
        <v/>
      </c>
      <c r="D374" s="2">
        <f>IF($A374="","",IFERROR(INDEX(Listone!$D$2:$D$532,MATCH($A374,Listone!$A$2:$A$532,0)),""))</f>
        <v/>
      </c>
      <c r="E374" s="2">
        <f>IF($A374="","",IFERROR(INDEX(Listone!$G$2:$G$532,MATCH($A374,Listone!$A$2:$A$532,0)),""))</f>
        <v/>
      </c>
      <c r="F374" s="8" t="n"/>
      <c r="G374" s="8" t="n"/>
      <c r="H374" s="7">
        <f>IF(OR($A374="",$F374=""),"",$F374&amp;"|"&amp;$C374)</f>
        <v/>
      </c>
      <c r="I374" s="7">
        <f>IF($H374="","",COUNTIF($H$4:$H374,$H374))</f>
        <v/>
      </c>
      <c r="J374" s="7">
        <f>IF($H374="","",$H374&amp;"|"&amp;$I374)</f>
        <v/>
      </c>
    </row>
    <row r="375">
      <c r="A375" s="8" t="n"/>
      <c r="B375" s="2">
        <f>IF($A375="","",IFERROR(INDEX(Listone!$B$2:$B$532,MATCH($A375,Listone!$A$2:$A$532,0)),"?"))</f>
        <v/>
      </c>
      <c r="C375" s="2">
        <f>IF($A375="","",IFERROR(INDEX(Listone!$C$2:$C$532,MATCH($A375,Listone!$A$2:$A$532,0)),""))</f>
        <v/>
      </c>
      <c r="D375" s="2">
        <f>IF($A375="","",IFERROR(INDEX(Listone!$D$2:$D$532,MATCH($A375,Listone!$A$2:$A$532,0)),""))</f>
        <v/>
      </c>
      <c r="E375" s="2">
        <f>IF($A375="","",IFERROR(INDEX(Listone!$G$2:$G$532,MATCH($A375,Listone!$A$2:$A$532,0)),""))</f>
        <v/>
      </c>
      <c r="F375" s="8" t="n"/>
      <c r="G375" s="8" t="n"/>
      <c r="H375" s="7">
        <f>IF(OR($A375="",$F375=""),"",$F375&amp;"|"&amp;$C375)</f>
        <v/>
      </c>
      <c r="I375" s="7">
        <f>IF($H375="","",COUNTIF($H$4:$H375,$H375))</f>
        <v/>
      </c>
      <c r="J375" s="7">
        <f>IF($H375="","",$H375&amp;"|"&amp;$I375)</f>
        <v/>
      </c>
    </row>
    <row r="376">
      <c r="A376" s="8" t="n"/>
      <c r="B376" s="2">
        <f>IF($A376="","",IFERROR(INDEX(Listone!$B$2:$B$532,MATCH($A376,Listone!$A$2:$A$532,0)),"?"))</f>
        <v/>
      </c>
      <c r="C376" s="2">
        <f>IF($A376="","",IFERROR(INDEX(Listone!$C$2:$C$532,MATCH($A376,Listone!$A$2:$A$532,0)),""))</f>
        <v/>
      </c>
      <c r="D376" s="2">
        <f>IF($A376="","",IFERROR(INDEX(Listone!$D$2:$D$532,MATCH($A376,Listone!$A$2:$A$532,0)),""))</f>
        <v/>
      </c>
      <c r="E376" s="2">
        <f>IF($A376="","",IFERROR(INDEX(Listone!$G$2:$G$532,MATCH($A376,Listone!$A$2:$A$532,0)),""))</f>
        <v/>
      </c>
      <c r="F376" s="8" t="n"/>
      <c r="G376" s="8" t="n"/>
      <c r="H376" s="7">
        <f>IF(OR($A376="",$F376=""),"",$F376&amp;"|"&amp;$C376)</f>
        <v/>
      </c>
      <c r="I376" s="7">
        <f>IF($H376="","",COUNTIF($H$4:$H376,$H376))</f>
        <v/>
      </c>
      <c r="J376" s="7">
        <f>IF($H376="","",$H376&amp;"|"&amp;$I376)</f>
        <v/>
      </c>
    </row>
    <row r="377">
      <c r="A377" s="8" t="n"/>
      <c r="B377" s="2">
        <f>IF($A377="","",IFERROR(INDEX(Listone!$B$2:$B$532,MATCH($A377,Listone!$A$2:$A$532,0)),"?"))</f>
        <v/>
      </c>
      <c r="C377" s="2">
        <f>IF($A377="","",IFERROR(INDEX(Listone!$C$2:$C$532,MATCH($A377,Listone!$A$2:$A$532,0)),""))</f>
        <v/>
      </c>
      <c r="D377" s="2">
        <f>IF($A377="","",IFERROR(INDEX(Listone!$D$2:$D$532,MATCH($A377,Listone!$A$2:$A$532,0)),""))</f>
        <v/>
      </c>
      <c r="E377" s="2">
        <f>IF($A377="","",IFERROR(INDEX(Listone!$G$2:$G$532,MATCH($A377,Listone!$A$2:$A$532,0)),""))</f>
        <v/>
      </c>
      <c r="F377" s="8" t="n"/>
      <c r="G377" s="8" t="n"/>
      <c r="H377" s="7">
        <f>IF(OR($A377="",$F377=""),"",$F377&amp;"|"&amp;$C377)</f>
        <v/>
      </c>
      <c r="I377" s="7">
        <f>IF($H377="","",COUNTIF($H$4:$H377,$H377))</f>
        <v/>
      </c>
      <c r="J377" s="7">
        <f>IF($H377="","",$H377&amp;"|"&amp;$I377)</f>
        <v/>
      </c>
    </row>
    <row r="378">
      <c r="A378" s="8" t="n"/>
      <c r="B378" s="2">
        <f>IF($A378="","",IFERROR(INDEX(Listone!$B$2:$B$532,MATCH($A378,Listone!$A$2:$A$532,0)),"?"))</f>
        <v/>
      </c>
      <c r="C378" s="2">
        <f>IF($A378="","",IFERROR(INDEX(Listone!$C$2:$C$532,MATCH($A378,Listone!$A$2:$A$532,0)),""))</f>
        <v/>
      </c>
      <c r="D378" s="2">
        <f>IF($A378="","",IFERROR(INDEX(Listone!$D$2:$D$532,MATCH($A378,Listone!$A$2:$A$532,0)),""))</f>
        <v/>
      </c>
      <c r="E378" s="2">
        <f>IF($A378="","",IFERROR(INDEX(Listone!$G$2:$G$532,MATCH($A378,Listone!$A$2:$A$532,0)),""))</f>
        <v/>
      </c>
      <c r="F378" s="8" t="n"/>
      <c r="G378" s="8" t="n"/>
      <c r="H378" s="7">
        <f>IF(OR($A378="",$F378=""),"",$F378&amp;"|"&amp;$C378)</f>
        <v/>
      </c>
      <c r="I378" s="7">
        <f>IF($H378="","",COUNTIF($H$4:$H378,$H378))</f>
        <v/>
      </c>
      <c r="J378" s="7">
        <f>IF($H378="","",$H378&amp;"|"&amp;$I378)</f>
        <v/>
      </c>
    </row>
    <row r="379">
      <c r="A379" s="8" t="n"/>
      <c r="B379" s="2">
        <f>IF($A379="","",IFERROR(INDEX(Listone!$B$2:$B$532,MATCH($A379,Listone!$A$2:$A$532,0)),"?"))</f>
        <v/>
      </c>
      <c r="C379" s="2">
        <f>IF($A379="","",IFERROR(INDEX(Listone!$C$2:$C$532,MATCH($A379,Listone!$A$2:$A$532,0)),""))</f>
        <v/>
      </c>
      <c r="D379" s="2">
        <f>IF($A379="","",IFERROR(INDEX(Listone!$D$2:$D$532,MATCH($A379,Listone!$A$2:$A$532,0)),""))</f>
        <v/>
      </c>
      <c r="E379" s="2">
        <f>IF($A379="","",IFERROR(INDEX(Listone!$G$2:$G$532,MATCH($A379,Listone!$A$2:$A$532,0)),""))</f>
        <v/>
      </c>
      <c r="F379" s="8" t="n"/>
      <c r="G379" s="8" t="n"/>
      <c r="H379" s="7">
        <f>IF(OR($A379="",$F379=""),"",$F379&amp;"|"&amp;$C379)</f>
        <v/>
      </c>
      <c r="I379" s="7">
        <f>IF($H379="","",COUNTIF($H$4:$H379,$H379))</f>
        <v/>
      </c>
      <c r="J379" s="7">
        <f>IF($H379="","",$H379&amp;"|"&amp;$I379)</f>
        <v/>
      </c>
    </row>
    <row r="380">
      <c r="A380" s="8" t="n"/>
      <c r="B380" s="2">
        <f>IF($A380="","",IFERROR(INDEX(Listone!$B$2:$B$532,MATCH($A380,Listone!$A$2:$A$532,0)),"?"))</f>
        <v/>
      </c>
      <c r="C380" s="2">
        <f>IF($A380="","",IFERROR(INDEX(Listone!$C$2:$C$532,MATCH($A380,Listone!$A$2:$A$532,0)),""))</f>
        <v/>
      </c>
      <c r="D380" s="2">
        <f>IF($A380="","",IFERROR(INDEX(Listone!$D$2:$D$532,MATCH($A380,Listone!$A$2:$A$532,0)),""))</f>
        <v/>
      </c>
      <c r="E380" s="2">
        <f>IF($A380="","",IFERROR(INDEX(Listone!$G$2:$G$532,MATCH($A380,Listone!$A$2:$A$532,0)),""))</f>
        <v/>
      </c>
      <c r="F380" s="8" t="n"/>
      <c r="G380" s="8" t="n"/>
      <c r="H380" s="7">
        <f>IF(OR($A380="",$F380=""),"",$F380&amp;"|"&amp;$C380)</f>
        <v/>
      </c>
      <c r="I380" s="7">
        <f>IF($H380="","",COUNTIF($H$4:$H380,$H380))</f>
        <v/>
      </c>
      <c r="J380" s="7">
        <f>IF($H380="","",$H380&amp;"|"&amp;$I380)</f>
        <v/>
      </c>
    </row>
    <row r="381">
      <c r="A381" s="8" t="n"/>
      <c r="B381" s="2">
        <f>IF($A381="","",IFERROR(INDEX(Listone!$B$2:$B$532,MATCH($A381,Listone!$A$2:$A$532,0)),"?"))</f>
        <v/>
      </c>
      <c r="C381" s="2">
        <f>IF($A381="","",IFERROR(INDEX(Listone!$C$2:$C$532,MATCH($A381,Listone!$A$2:$A$532,0)),""))</f>
        <v/>
      </c>
      <c r="D381" s="2">
        <f>IF($A381="","",IFERROR(INDEX(Listone!$D$2:$D$532,MATCH($A381,Listone!$A$2:$A$532,0)),""))</f>
        <v/>
      </c>
      <c r="E381" s="2">
        <f>IF($A381="","",IFERROR(INDEX(Listone!$G$2:$G$532,MATCH($A381,Listone!$A$2:$A$532,0)),""))</f>
        <v/>
      </c>
      <c r="F381" s="8" t="n"/>
      <c r="G381" s="8" t="n"/>
      <c r="H381" s="7">
        <f>IF(OR($A381="",$F381=""),"",$F381&amp;"|"&amp;$C381)</f>
        <v/>
      </c>
      <c r="I381" s="7">
        <f>IF($H381="","",COUNTIF($H$4:$H381,$H381))</f>
        <v/>
      </c>
      <c r="J381" s="7">
        <f>IF($H381="","",$H381&amp;"|"&amp;$I381)</f>
        <v/>
      </c>
    </row>
    <row r="382">
      <c r="A382" s="8" t="n"/>
      <c r="B382" s="2">
        <f>IF($A382="","",IFERROR(INDEX(Listone!$B$2:$B$532,MATCH($A382,Listone!$A$2:$A$532,0)),"?"))</f>
        <v/>
      </c>
      <c r="C382" s="2">
        <f>IF($A382="","",IFERROR(INDEX(Listone!$C$2:$C$532,MATCH($A382,Listone!$A$2:$A$532,0)),""))</f>
        <v/>
      </c>
      <c r="D382" s="2">
        <f>IF($A382="","",IFERROR(INDEX(Listone!$D$2:$D$532,MATCH($A382,Listone!$A$2:$A$532,0)),""))</f>
        <v/>
      </c>
      <c r="E382" s="2">
        <f>IF($A382="","",IFERROR(INDEX(Listone!$G$2:$G$532,MATCH($A382,Listone!$A$2:$A$532,0)),""))</f>
        <v/>
      </c>
      <c r="F382" s="8" t="n"/>
      <c r="G382" s="8" t="n"/>
      <c r="H382" s="7">
        <f>IF(OR($A382="",$F382=""),"",$F382&amp;"|"&amp;$C382)</f>
        <v/>
      </c>
      <c r="I382" s="7">
        <f>IF($H382="","",COUNTIF($H$4:$H382,$H382))</f>
        <v/>
      </c>
      <c r="J382" s="7">
        <f>IF($H382="","",$H382&amp;"|"&amp;$I382)</f>
        <v/>
      </c>
    </row>
    <row r="383">
      <c r="A383" s="8" t="n"/>
      <c r="B383" s="2">
        <f>IF($A383="","",IFERROR(INDEX(Listone!$B$2:$B$532,MATCH($A383,Listone!$A$2:$A$532,0)),"?"))</f>
        <v/>
      </c>
      <c r="C383" s="2">
        <f>IF($A383="","",IFERROR(INDEX(Listone!$C$2:$C$532,MATCH($A383,Listone!$A$2:$A$532,0)),""))</f>
        <v/>
      </c>
      <c r="D383" s="2">
        <f>IF($A383="","",IFERROR(INDEX(Listone!$D$2:$D$532,MATCH($A383,Listone!$A$2:$A$532,0)),""))</f>
        <v/>
      </c>
      <c r="E383" s="2">
        <f>IF($A383="","",IFERROR(INDEX(Listone!$G$2:$G$532,MATCH($A383,Listone!$A$2:$A$532,0)),""))</f>
        <v/>
      </c>
      <c r="F383" s="8" t="n"/>
      <c r="G383" s="8" t="n"/>
      <c r="H383" s="7">
        <f>IF(OR($A383="",$F383=""),"",$F383&amp;"|"&amp;$C383)</f>
        <v/>
      </c>
      <c r="I383" s="7">
        <f>IF($H383="","",COUNTIF($H$4:$H383,$H383))</f>
        <v/>
      </c>
      <c r="J383" s="7">
        <f>IF($H383="","",$H383&amp;"|"&amp;$I383)</f>
        <v/>
      </c>
    </row>
    <row r="384">
      <c r="A384" s="8" t="n"/>
      <c r="B384" s="2">
        <f>IF($A384="","",IFERROR(INDEX(Listone!$B$2:$B$532,MATCH($A384,Listone!$A$2:$A$532,0)),"?"))</f>
        <v/>
      </c>
      <c r="C384" s="2">
        <f>IF($A384="","",IFERROR(INDEX(Listone!$C$2:$C$532,MATCH($A384,Listone!$A$2:$A$532,0)),""))</f>
        <v/>
      </c>
      <c r="D384" s="2">
        <f>IF($A384="","",IFERROR(INDEX(Listone!$D$2:$D$532,MATCH($A384,Listone!$A$2:$A$532,0)),""))</f>
        <v/>
      </c>
      <c r="E384" s="2">
        <f>IF($A384="","",IFERROR(INDEX(Listone!$G$2:$G$532,MATCH($A384,Listone!$A$2:$A$532,0)),""))</f>
        <v/>
      </c>
      <c r="F384" s="8" t="n"/>
      <c r="G384" s="8" t="n"/>
      <c r="H384" s="7">
        <f>IF(OR($A384="",$F384=""),"",$F384&amp;"|"&amp;$C384)</f>
        <v/>
      </c>
      <c r="I384" s="7">
        <f>IF($H384="","",COUNTIF($H$4:$H384,$H384))</f>
        <v/>
      </c>
      <c r="J384" s="7">
        <f>IF($H384="","",$H384&amp;"|"&amp;$I384)</f>
        <v/>
      </c>
    </row>
    <row r="385">
      <c r="A385" s="8" t="n"/>
      <c r="B385" s="2">
        <f>IF($A385="","",IFERROR(INDEX(Listone!$B$2:$B$532,MATCH($A385,Listone!$A$2:$A$532,0)),"?"))</f>
        <v/>
      </c>
      <c r="C385" s="2">
        <f>IF($A385="","",IFERROR(INDEX(Listone!$C$2:$C$532,MATCH($A385,Listone!$A$2:$A$532,0)),""))</f>
        <v/>
      </c>
      <c r="D385" s="2">
        <f>IF($A385="","",IFERROR(INDEX(Listone!$D$2:$D$532,MATCH($A385,Listone!$A$2:$A$532,0)),""))</f>
        <v/>
      </c>
      <c r="E385" s="2">
        <f>IF($A385="","",IFERROR(INDEX(Listone!$G$2:$G$532,MATCH($A385,Listone!$A$2:$A$532,0)),""))</f>
        <v/>
      </c>
      <c r="F385" s="8" t="n"/>
      <c r="G385" s="8" t="n"/>
      <c r="H385" s="7">
        <f>IF(OR($A385="",$F385=""),"",$F385&amp;"|"&amp;$C385)</f>
        <v/>
      </c>
      <c r="I385" s="7">
        <f>IF($H385="","",COUNTIF($H$4:$H385,$H385))</f>
        <v/>
      </c>
      <c r="J385" s="7">
        <f>IF($H385="","",$H385&amp;"|"&amp;$I385)</f>
        <v/>
      </c>
    </row>
    <row r="386">
      <c r="A386" s="8" t="n"/>
      <c r="B386" s="2">
        <f>IF($A386="","",IFERROR(INDEX(Listone!$B$2:$B$532,MATCH($A386,Listone!$A$2:$A$532,0)),"?"))</f>
        <v/>
      </c>
      <c r="C386" s="2">
        <f>IF($A386="","",IFERROR(INDEX(Listone!$C$2:$C$532,MATCH($A386,Listone!$A$2:$A$532,0)),""))</f>
        <v/>
      </c>
      <c r="D386" s="2">
        <f>IF($A386="","",IFERROR(INDEX(Listone!$D$2:$D$532,MATCH($A386,Listone!$A$2:$A$532,0)),""))</f>
        <v/>
      </c>
      <c r="E386" s="2">
        <f>IF($A386="","",IFERROR(INDEX(Listone!$G$2:$G$532,MATCH($A386,Listone!$A$2:$A$532,0)),""))</f>
        <v/>
      </c>
      <c r="F386" s="8" t="n"/>
      <c r="G386" s="8" t="n"/>
      <c r="H386" s="7">
        <f>IF(OR($A386="",$F386=""),"",$F386&amp;"|"&amp;$C386)</f>
        <v/>
      </c>
      <c r="I386" s="7">
        <f>IF($H386="","",COUNTIF($H$4:$H386,$H386))</f>
        <v/>
      </c>
      <c r="J386" s="7">
        <f>IF($H386="","",$H386&amp;"|"&amp;$I386)</f>
        <v/>
      </c>
    </row>
    <row r="387">
      <c r="A387" s="8" t="n"/>
      <c r="B387" s="2">
        <f>IF($A387="","",IFERROR(INDEX(Listone!$B$2:$B$532,MATCH($A387,Listone!$A$2:$A$532,0)),"?"))</f>
        <v/>
      </c>
      <c r="C387" s="2">
        <f>IF($A387="","",IFERROR(INDEX(Listone!$C$2:$C$532,MATCH($A387,Listone!$A$2:$A$532,0)),""))</f>
        <v/>
      </c>
      <c r="D387" s="2">
        <f>IF($A387="","",IFERROR(INDEX(Listone!$D$2:$D$532,MATCH($A387,Listone!$A$2:$A$532,0)),""))</f>
        <v/>
      </c>
      <c r="E387" s="2">
        <f>IF($A387="","",IFERROR(INDEX(Listone!$G$2:$G$532,MATCH($A387,Listone!$A$2:$A$532,0)),""))</f>
        <v/>
      </c>
      <c r="F387" s="8" t="n"/>
      <c r="G387" s="8" t="n"/>
      <c r="H387" s="7">
        <f>IF(OR($A387="",$F387=""),"",$F387&amp;"|"&amp;$C387)</f>
        <v/>
      </c>
      <c r="I387" s="7">
        <f>IF($H387="","",COUNTIF($H$4:$H387,$H387))</f>
        <v/>
      </c>
      <c r="J387" s="7">
        <f>IF($H387="","",$H387&amp;"|"&amp;$I387)</f>
        <v/>
      </c>
    </row>
    <row r="388">
      <c r="A388" s="8" t="n"/>
      <c r="B388" s="2">
        <f>IF($A388="","",IFERROR(INDEX(Listone!$B$2:$B$532,MATCH($A388,Listone!$A$2:$A$532,0)),"?"))</f>
        <v/>
      </c>
      <c r="C388" s="2">
        <f>IF($A388="","",IFERROR(INDEX(Listone!$C$2:$C$532,MATCH($A388,Listone!$A$2:$A$532,0)),""))</f>
        <v/>
      </c>
      <c r="D388" s="2">
        <f>IF($A388="","",IFERROR(INDEX(Listone!$D$2:$D$532,MATCH($A388,Listone!$A$2:$A$532,0)),""))</f>
        <v/>
      </c>
      <c r="E388" s="2">
        <f>IF($A388="","",IFERROR(INDEX(Listone!$G$2:$G$532,MATCH($A388,Listone!$A$2:$A$532,0)),""))</f>
        <v/>
      </c>
      <c r="F388" s="8" t="n"/>
      <c r="G388" s="8" t="n"/>
      <c r="H388" s="7">
        <f>IF(OR($A388="",$F388=""),"",$F388&amp;"|"&amp;$C388)</f>
        <v/>
      </c>
      <c r="I388" s="7">
        <f>IF($H388="","",COUNTIF($H$4:$H388,$H388))</f>
        <v/>
      </c>
      <c r="J388" s="7">
        <f>IF($H388="","",$H388&amp;"|"&amp;$I388)</f>
        <v/>
      </c>
    </row>
    <row r="389">
      <c r="A389" s="8" t="n"/>
      <c r="B389" s="2">
        <f>IF($A389="","",IFERROR(INDEX(Listone!$B$2:$B$532,MATCH($A389,Listone!$A$2:$A$532,0)),"?"))</f>
        <v/>
      </c>
      <c r="C389" s="2">
        <f>IF($A389="","",IFERROR(INDEX(Listone!$C$2:$C$532,MATCH($A389,Listone!$A$2:$A$532,0)),""))</f>
        <v/>
      </c>
      <c r="D389" s="2">
        <f>IF($A389="","",IFERROR(INDEX(Listone!$D$2:$D$532,MATCH($A389,Listone!$A$2:$A$532,0)),""))</f>
        <v/>
      </c>
      <c r="E389" s="2">
        <f>IF($A389="","",IFERROR(INDEX(Listone!$G$2:$G$532,MATCH($A389,Listone!$A$2:$A$532,0)),""))</f>
        <v/>
      </c>
      <c r="F389" s="8" t="n"/>
      <c r="G389" s="8" t="n"/>
      <c r="H389" s="7">
        <f>IF(OR($A389="",$F389=""),"",$F389&amp;"|"&amp;$C389)</f>
        <v/>
      </c>
      <c r="I389" s="7">
        <f>IF($H389="","",COUNTIF($H$4:$H389,$H389))</f>
        <v/>
      </c>
      <c r="J389" s="7">
        <f>IF($H389="","",$H389&amp;"|"&amp;$I389)</f>
        <v/>
      </c>
    </row>
    <row r="390">
      <c r="A390" s="8" t="n"/>
      <c r="B390" s="2">
        <f>IF($A390="","",IFERROR(INDEX(Listone!$B$2:$B$532,MATCH($A390,Listone!$A$2:$A$532,0)),"?"))</f>
        <v/>
      </c>
      <c r="C390" s="2">
        <f>IF($A390="","",IFERROR(INDEX(Listone!$C$2:$C$532,MATCH($A390,Listone!$A$2:$A$532,0)),""))</f>
        <v/>
      </c>
      <c r="D390" s="2">
        <f>IF($A390="","",IFERROR(INDEX(Listone!$D$2:$D$532,MATCH($A390,Listone!$A$2:$A$532,0)),""))</f>
        <v/>
      </c>
      <c r="E390" s="2">
        <f>IF($A390="","",IFERROR(INDEX(Listone!$G$2:$G$532,MATCH($A390,Listone!$A$2:$A$532,0)),""))</f>
        <v/>
      </c>
      <c r="F390" s="8" t="n"/>
      <c r="G390" s="8" t="n"/>
      <c r="H390" s="7">
        <f>IF(OR($A390="",$F390=""),"",$F390&amp;"|"&amp;$C390)</f>
        <v/>
      </c>
      <c r="I390" s="7">
        <f>IF($H390="","",COUNTIF($H$4:$H390,$H390))</f>
        <v/>
      </c>
      <c r="J390" s="7">
        <f>IF($H390="","",$H390&amp;"|"&amp;$I390)</f>
        <v/>
      </c>
    </row>
    <row r="391">
      <c r="A391" s="8" t="n"/>
      <c r="B391" s="2">
        <f>IF($A391="","",IFERROR(INDEX(Listone!$B$2:$B$532,MATCH($A391,Listone!$A$2:$A$532,0)),"?"))</f>
        <v/>
      </c>
      <c r="C391" s="2">
        <f>IF($A391="","",IFERROR(INDEX(Listone!$C$2:$C$532,MATCH($A391,Listone!$A$2:$A$532,0)),""))</f>
        <v/>
      </c>
      <c r="D391" s="2">
        <f>IF($A391="","",IFERROR(INDEX(Listone!$D$2:$D$532,MATCH($A391,Listone!$A$2:$A$532,0)),""))</f>
        <v/>
      </c>
      <c r="E391" s="2">
        <f>IF($A391="","",IFERROR(INDEX(Listone!$G$2:$G$532,MATCH($A391,Listone!$A$2:$A$532,0)),""))</f>
        <v/>
      </c>
      <c r="F391" s="8" t="n"/>
      <c r="G391" s="8" t="n"/>
      <c r="H391" s="7">
        <f>IF(OR($A391="",$F391=""),"",$F391&amp;"|"&amp;$C391)</f>
        <v/>
      </c>
      <c r="I391" s="7">
        <f>IF($H391="","",COUNTIF($H$4:$H391,$H391))</f>
        <v/>
      </c>
      <c r="J391" s="7">
        <f>IF($H391="","",$H391&amp;"|"&amp;$I391)</f>
        <v/>
      </c>
    </row>
    <row r="392">
      <c r="A392" s="8" t="n"/>
      <c r="B392" s="2">
        <f>IF($A392="","",IFERROR(INDEX(Listone!$B$2:$B$532,MATCH($A392,Listone!$A$2:$A$532,0)),"?"))</f>
        <v/>
      </c>
      <c r="C392" s="2">
        <f>IF($A392="","",IFERROR(INDEX(Listone!$C$2:$C$532,MATCH($A392,Listone!$A$2:$A$532,0)),""))</f>
        <v/>
      </c>
      <c r="D392" s="2">
        <f>IF($A392="","",IFERROR(INDEX(Listone!$D$2:$D$532,MATCH($A392,Listone!$A$2:$A$532,0)),""))</f>
        <v/>
      </c>
      <c r="E392" s="2">
        <f>IF($A392="","",IFERROR(INDEX(Listone!$G$2:$G$532,MATCH($A392,Listone!$A$2:$A$532,0)),""))</f>
        <v/>
      </c>
      <c r="F392" s="8" t="n"/>
      <c r="G392" s="8" t="n"/>
      <c r="H392" s="7">
        <f>IF(OR($A392="",$F392=""),"",$F392&amp;"|"&amp;$C392)</f>
        <v/>
      </c>
      <c r="I392" s="7">
        <f>IF($H392="","",COUNTIF($H$4:$H392,$H392))</f>
        <v/>
      </c>
      <c r="J392" s="7">
        <f>IF($H392="","",$H392&amp;"|"&amp;$I392)</f>
        <v/>
      </c>
    </row>
    <row r="393">
      <c r="A393" s="8" t="n"/>
      <c r="B393" s="2">
        <f>IF($A393="","",IFERROR(INDEX(Listone!$B$2:$B$532,MATCH($A393,Listone!$A$2:$A$532,0)),"?"))</f>
        <v/>
      </c>
      <c r="C393" s="2">
        <f>IF($A393="","",IFERROR(INDEX(Listone!$C$2:$C$532,MATCH($A393,Listone!$A$2:$A$532,0)),""))</f>
        <v/>
      </c>
      <c r="D393" s="2">
        <f>IF($A393="","",IFERROR(INDEX(Listone!$D$2:$D$532,MATCH($A393,Listone!$A$2:$A$532,0)),""))</f>
        <v/>
      </c>
      <c r="E393" s="2">
        <f>IF($A393="","",IFERROR(INDEX(Listone!$G$2:$G$532,MATCH($A393,Listone!$A$2:$A$532,0)),""))</f>
        <v/>
      </c>
      <c r="F393" s="8" t="n"/>
      <c r="G393" s="8" t="n"/>
      <c r="H393" s="7">
        <f>IF(OR($A393="",$F393=""),"",$F393&amp;"|"&amp;$C393)</f>
        <v/>
      </c>
      <c r="I393" s="7">
        <f>IF($H393="","",COUNTIF($H$4:$H393,$H393))</f>
        <v/>
      </c>
      <c r="J393" s="7">
        <f>IF($H393="","",$H393&amp;"|"&amp;$I393)</f>
        <v/>
      </c>
    </row>
    <row r="394">
      <c r="A394" s="8" t="n"/>
      <c r="B394" s="2">
        <f>IF($A394="","",IFERROR(INDEX(Listone!$B$2:$B$532,MATCH($A394,Listone!$A$2:$A$532,0)),"?"))</f>
        <v/>
      </c>
      <c r="C394" s="2">
        <f>IF($A394="","",IFERROR(INDEX(Listone!$C$2:$C$532,MATCH($A394,Listone!$A$2:$A$532,0)),""))</f>
        <v/>
      </c>
      <c r="D394" s="2">
        <f>IF($A394="","",IFERROR(INDEX(Listone!$D$2:$D$532,MATCH($A394,Listone!$A$2:$A$532,0)),""))</f>
        <v/>
      </c>
      <c r="E394" s="2">
        <f>IF($A394="","",IFERROR(INDEX(Listone!$G$2:$G$532,MATCH($A394,Listone!$A$2:$A$532,0)),""))</f>
        <v/>
      </c>
      <c r="F394" s="8" t="n"/>
      <c r="G394" s="8" t="n"/>
      <c r="H394" s="7">
        <f>IF(OR($A394="",$F394=""),"",$F394&amp;"|"&amp;$C394)</f>
        <v/>
      </c>
      <c r="I394" s="7">
        <f>IF($H394="","",COUNTIF($H$4:$H394,$H394))</f>
        <v/>
      </c>
      <c r="J394" s="7">
        <f>IF($H394="","",$H394&amp;"|"&amp;$I394)</f>
        <v/>
      </c>
    </row>
    <row r="395">
      <c r="A395" s="8" t="n"/>
      <c r="B395" s="2">
        <f>IF($A395="","",IFERROR(INDEX(Listone!$B$2:$B$532,MATCH($A395,Listone!$A$2:$A$532,0)),"?"))</f>
        <v/>
      </c>
      <c r="C395" s="2">
        <f>IF($A395="","",IFERROR(INDEX(Listone!$C$2:$C$532,MATCH($A395,Listone!$A$2:$A$532,0)),""))</f>
        <v/>
      </c>
      <c r="D395" s="2">
        <f>IF($A395="","",IFERROR(INDEX(Listone!$D$2:$D$532,MATCH($A395,Listone!$A$2:$A$532,0)),""))</f>
        <v/>
      </c>
      <c r="E395" s="2">
        <f>IF($A395="","",IFERROR(INDEX(Listone!$G$2:$G$532,MATCH($A395,Listone!$A$2:$A$532,0)),""))</f>
        <v/>
      </c>
      <c r="F395" s="8" t="n"/>
      <c r="G395" s="8" t="n"/>
      <c r="H395" s="7">
        <f>IF(OR($A395="",$F395=""),"",$F395&amp;"|"&amp;$C395)</f>
        <v/>
      </c>
      <c r="I395" s="7">
        <f>IF($H395="","",COUNTIF($H$4:$H395,$H395))</f>
        <v/>
      </c>
      <c r="J395" s="7">
        <f>IF($H395="","",$H395&amp;"|"&amp;$I395)</f>
        <v/>
      </c>
    </row>
    <row r="396">
      <c r="A396" s="8" t="n"/>
      <c r="B396" s="2">
        <f>IF($A396="","",IFERROR(INDEX(Listone!$B$2:$B$532,MATCH($A396,Listone!$A$2:$A$532,0)),"?"))</f>
        <v/>
      </c>
      <c r="C396" s="2">
        <f>IF($A396="","",IFERROR(INDEX(Listone!$C$2:$C$532,MATCH($A396,Listone!$A$2:$A$532,0)),""))</f>
        <v/>
      </c>
      <c r="D396" s="2">
        <f>IF($A396="","",IFERROR(INDEX(Listone!$D$2:$D$532,MATCH($A396,Listone!$A$2:$A$532,0)),""))</f>
        <v/>
      </c>
      <c r="E396" s="2">
        <f>IF($A396="","",IFERROR(INDEX(Listone!$G$2:$G$532,MATCH($A396,Listone!$A$2:$A$532,0)),""))</f>
        <v/>
      </c>
      <c r="F396" s="8" t="n"/>
      <c r="G396" s="8" t="n"/>
      <c r="H396" s="7">
        <f>IF(OR($A396="",$F396=""),"",$F396&amp;"|"&amp;$C396)</f>
        <v/>
      </c>
      <c r="I396" s="7">
        <f>IF($H396="","",COUNTIF($H$4:$H396,$H396))</f>
        <v/>
      </c>
      <c r="J396" s="7">
        <f>IF($H396="","",$H396&amp;"|"&amp;$I396)</f>
        <v/>
      </c>
    </row>
    <row r="397">
      <c r="A397" s="8" t="n"/>
      <c r="B397" s="2">
        <f>IF($A397="","",IFERROR(INDEX(Listone!$B$2:$B$532,MATCH($A397,Listone!$A$2:$A$532,0)),"?"))</f>
        <v/>
      </c>
      <c r="C397" s="2">
        <f>IF($A397="","",IFERROR(INDEX(Listone!$C$2:$C$532,MATCH($A397,Listone!$A$2:$A$532,0)),""))</f>
        <v/>
      </c>
      <c r="D397" s="2">
        <f>IF($A397="","",IFERROR(INDEX(Listone!$D$2:$D$532,MATCH($A397,Listone!$A$2:$A$532,0)),""))</f>
        <v/>
      </c>
      <c r="E397" s="2">
        <f>IF($A397="","",IFERROR(INDEX(Listone!$G$2:$G$532,MATCH($A397,Listone!$A$2:$A$532,0)),""))</f>
        <v/>
      </c>
      <c r="F397" s="8" t="n"/>
      <c r="G397" s="8" t="n"/>
      <c r="H397" s="7">
        <f>IF(OR($A397="",$F397=""),"",$F397&amp;"|"&amp;$C397)</f>
        <v/>
      </c>
      <c r="I397" s="7">
        <f>IF($H397="","",COUNTIF($H$4:$H397,$H397))</f>
        <v/>
      </c>
      <c r="J397" s="7">
        <f>IF($H397="","",$H397&amp;"|"&amp;$I397)</f>
        <v/>
      </c>
    </row>
    <row r="398">
      <c r="A398" s="8" t="n"/>
      <c r="B398" s="2">
        <f>IF($A398="","",IFERROR(INDEX(Listone!$B$2:$B$532,MATCH($A398,Listone!$A$2:$A$532,0)),"?"))</f>
        <v/>
      </c>
      <c r="C398" s="2">
        <f>IF($A398="","",IFERROR(INDEX(Listone!$C$2:$C$532,MATCH($A398,Listone!$A$2:$A$532,0)),""))</f>
        <v/>
      </c>
      <c r="D398" s="2">
        <f>IF($A398="","",IFERROR(INDEX(Listone!$D$2:$D$532,MATCH($A398,Listone!$A$2:$A$532,0)),""))</f>
        <v/>
      </c>
      <c r="E398" s="2">
        <f>IF($A398="","",IFERROR(INDEX(Listone!$G$2:$G$532,MATCH($A398,Listone!$A$2:$A$532,0)),""))</f>
        <v/>
      </c>
      <c r="F398" s="8" t="n"/>
      <c r="G398" s="8" t="n"/>
      <c r="H398" s="7">
        <f>IF(OR($A398="",$F398=""),"",$F398&amp;"|"&amp;$C398)</f>
        <v/>
      </c>
      <c r="I398" s="7">
        <f>IF($H398="","",COUNTIF($H$4:$H398,$H398))</f>
        <v/>
      </c>
      <c r="J398" s="7">
        <f>IF($H398="","",$H398&amp;"|"&amp;$I398)</f>
        <v/>
      </c>
    </row>
    <row r="399">
      <c r="A399" s="8" t="n"/>
      <c r="B399" s="2">
        <f>IF($A399="","",IFERROR(INDEX(Listone!$B$2:$B$532,MATCH($A399,Listone!$A$2:$A$532,0)),"?"))</f>
        <v/>
      </c>
      <c r="C399" s="2">
        <f>IF($A399="","",IFERROR(INDEX(Listone!$C$2:$C$532,MATCH($A399,Listone!$A$2:$A$532,0)),""))</f>
        <v/>
      </c>
      <c r="D399" s="2">
        <f>IF($A399="","",IFERROR(INDEX(Listone!$D$2:$D$532,MATCH($A399,Listone!$A$2:$A$532,0)),""))</f>
        <v/>
      </c>
      <c r="E399" s="2">
        <f>IF($A399="","",IFERROR(INDEX(Listone!$G$2:$G$532,MATCH($A399,Listone!$A$2:$A$532,0)),""))</f>
        <v/>
      </c>
      <c r="F399" s="8" t="n"/>
      <c r="G399" s="8" t="n"/>
      <c r="H399" s="7">
        <f>IF(OR($A399="",$F399=""),"",$F399&amp;"|"&amp;$C399)</f>
        <v/>
      </c>
      <c r="I399" s="7">
        <f>IF($H399="","",COUNTIF($H$4:$H399,$H399))</f>
        <v/>
      </c>
      <c r="J399" s="7">
        <f>IF($H399="","",$H399&amp;"|"&amp;$I399)</f>
        <v/>
      </c>
    </row>
    <row r="400">
      <c r="A400" s="8" t="n"/>
      <c r="B400" s="2">
        <f>IF($A400="","",IFERROR(INDEX(Listone!$B$2:$B$532,MATCH($A400,Listone!$A$2:$A$532,0)),"?"))</f>
        <v/>
      </c>
      <c r="C400" s="2">
        <f>IF($A400="","",IFERROR(INDEX(Listone!$C$2:$C$532,MATCH($A400,Listone!$A$2:$A$532,0)),""))</f>
        <v/>
      </c>
      <c r="D400" s="2">
        <f>IF($A400="","",IFERROR(INDEX(Listone!$D$2:$D$532,MATCH($A400,Listone!$A$2:$A$532,0)),""))</f>
        <v/>
      </c>
      <c r="E400" s="2">
        <f>IF($A400="","",IFERROR(INDEX(Listone!$G$2:$G$532,MATCH($A400,Listone!$A$2:$A$532,0)),""))</f>
        <v/>
      </c>
      <c r="F400" s="8" t="n"/>
      <c r="G400" s="8" t="n"/>
      <c r="H400" s="7">
        <f>IF(OR($A400="",$F400=""),"",$F400&amp;"|"&amp;$C400)</f>
        <v/>
      </c>
      <c r="I400" s="7">
        <f>IF($H400="","",COUNTIF($H$4:$H400,$H400))</f>
        <v/>
      </c>
      <c r="J400" s="7">
        <f>IF($H400="","",$H400&amp;"|"&amp;$I400)</f>
        <v/>
      </c>
    </row>
    <row r="401">
      <c r="A401" s="8" t="n"/>
      <c r="B401" s="2">
        <f>IF($A401="","",IFERROR(INDEX(Listone!$B$2:$B$532,MATCH($A401,Listone!$A$2:$A$532,0)),"?"))</f>
        <v/>
      </c>
      <c r="C401" s="2">
        <f>IF($A401="","",IFERROR(INDEX(Listone!$C$2:$C$532,MATCH($A401,Listone!$A$2:$A$532,0)),""))</f>
        <v/>
      </c>
      <c r="D401" s="2">
        <f>IF($A401="","",IFERROR(INDEX(Listone!$D$2:$D$532,MATCH($A401,Listone!$A$2:$A$532,0)),""))</f>
        <v/>
      </c>
      <c r="E401" s="2">
        <f>IF($A401="","",IFERROR(INDEX(Listone!$G$2:$G$532,MATCH($A401,Listone!$A$2:$A$532,0)),""))</f>
        <v/>
      </c>
      <c r="F401" s="8" t="n"/>
      <c r="G401" s="8" t="n"/>
      <c r="H401" s="7">
        <f>IF(OR($A401="",$F401=""),"",$F401&amp;"|"&amp;$C401)</f>
        <v/>
      </c>
      <c r="I401" s="7">
        <f>IF($H401="","",COUNTIF($H$4:$H401,$H401))</f>
        <v/>
      </c>
      <c r="J401" s="7">
        <f>IF($H401="","",$H401&amp;"|"&amp;$I401)</f>
        <v/>
      </c>
    </row>
    <row r="402">
      <c r="A402" s="8" t="n"/>
      <c r="B402" s="2">
        <f>IF($A402="","",IFERROR(INDEX(Listone!$B$2:$B$532,MATCH($A402,Listone!$A$2:$A$532,0)),"?"))</f>
        <v/>
      </c>
      <c r="C402" s="2">
        <f>IF($A402="","",IFERROR(INDEX(Listone!$C$2:$C$532,MATCH($A402,Listone!$A$2:$A$532,0)),""))</f>
        <v/>
      </c>
      <c r="D402" s="2">
        <f>IF($A402="","",IFERROR(INDEX(Listone!$D$2:$D$532,MATCH($A402,Listone!$A$2:$A$532,0)),""))</f>
        <v/>
      </c>
      <c r="E402" s="2">
        <f>IF($A402="","",IFERROR(INDEX(Listone!$G$2:$G$532,MATCH($A402,Listone!$A$2:$A$532,0)),""))</f>
        <v/>
      </c>
      <c r="F402" s="8" t="n"/>
      <c r="G402" s="8" t="n"/>
      <c r="H402" s="7">
        <f>IF(OR($A402="",$F402=""),"",$F402&amp;"|"&amp;$C402)</f>
        <v/>
      </c>
      <c r="I402" s="7">
        <f>IF($H402="","",COUNTIF($H$4:$H402,$H402))</f>
        <v/>
      </c>
      <c r="J402" s="7">
        <f>IF($H402="","",$H402&amp;"|"&amp;$I402)</f>
        <v/>
      </c>
    </row>
    <row r="403">
      <c r="A403" s="8" t="n"/>
      <c r="B403" s="2">
        <f>IF($A403="","",IFERROR(INDEX(Listone!$B$2:$B$532,MATCH($A403,Listone!$A$2:$A$532,0)),"?"))</f>
        <v/>
      </c>
      <c r="C403" s="2">
        <f>IF($A403="","",IFERROR(INDEX(Listone!$C$2:$C$532,MATCH($A403,Listone!$A$2:$A$532,0)),""))</f>
        <v/>
      </c>
      <c r="D403" s="2">
        <f>IF($A403="","",IFERROR(INDEX(Listone!$D$2:$D$532,MATCH($A403,Listone!$A$2:$A$532,0)),""))</f>
        <v/>
      </c>
      <c r="E403" s="2">
        <f>IF($A403="","",IFERROR(INDEX(Listone!$G$2:$G$532,MATCH($A403,Listone!$A$2:$A$532,0)),""))</f>
        <v/>
      </c>
      <c r="F403" s="8" t="n"/>
      <c r="G403" s="8" t="n"/>
      <c r="H403" s="7">
        <f>IF(OR($A403="",$F403=""),"",$F403&amp;"|"&amp;$C403)</f>
        <v/>
      </c>
      <c r="I403" s="7">
        <f>IF($H403="","",COUNTIF($H$4:$H403,$H403))</f>
        <v/>
      </c>
      <c r="J403" s="7">
        <f>IF($H403="","",$H403&amp;"|"&amp;$I403)</f>
        <v/>
      </c>
    </row>
    <row r="406">
      <c r="A406" s="5" t="inlineStr">
        <is>
          <t>RIEPILOGO SQUADRE</t>
        </is>
      </c>
    </row>
    <row r="407">
      <c r="A407" s="6" t="inlineStr">
        <is>
          <t>Squadra</t>
        </is>
      </c>
      <c r="B407" s="6" t="inlineStr">
        <is>
          <t>Spesi</t>
        </is>
      </c>
      <c r="C407" s="6" t="inlineStr">
        <is>
          <t>Residui</t>
        </is>
      </c>
      <c r="D407" s="6" t="inlineStr">
        <is>
          <t>P</t>
        </is>
      </c>
      <c r="E407" s="6" t="inlineStr">
        <is>
          <t>D</t>
        </is>
      </c>
      <c r="F407" s="6" t="inlineStr">
        <is>
          <t>C</t>
        </is>
      </c>
      <c r="G407" s="6" t="inlineStr">
        <is>
          <t>A</t>
        </is>
      </c>
      <c r="H407" s="6" t="inlineStr">
        <is>
          <t>Slot</t>
        </is>
      </c>
      <c r="I407" s="6" t="inlineStr">
        <is>
          <t>Stato</t>
        </is>
      </c>
    </row>
    <row r="408">
      <c r="A408" s="2">
        <f>Impostazioni!$B$4</f>
        <v/>
      </c>
      <c r="B408" s="2">
        <f>SUMIF('Asta Live'!$F$4:$F$403,$A408,'Asta Live'!$G$4:$G$403)</f>
        <v/>
      </c>
      <c r="C408" s="2">
        <f>Impostazioni!$B$2-B408</f>
        <v/>
      </c>
      <c r="D408" s="2">
        <f>COUNTIFS('Asta Live'!$F$4:$F$403,$A408,'Asta Live'!$C$4:$C$403,"P")</f>
        <v/>
      </c>
      <c r="E408" s="2">
        <f>COUNTIFS('Asta Live'!$F$4:$F$403,$A408,'Asta Live'!$C$4:$C$403,"D")</f>
        <v/>
      </c>
      <c r="F408" s="2">
        <f>COUNTIFS('Asta Live'!$F$4:$F$403,$A408,'Asta Live'!$C$4:$C$403,"C")</f>
        <v/>
      </c>
      <c r="G408" s="2">
        <f>COUNTIFS('Asta Live'!$F$4:$F$403,$A408,'Asta Live'!$C$4:$C$403,"A")</f>
        <v/>
      </c>
      <c r="H408" s="2">
        <f>SUM(D408:G408)</f>
        <v/>
      </c>
      <c r="I408" s="2">
        <f>IF(AND(C408&gt;=0,D408&lt;=Impostazioni!$B$15,E408&lt;=Impostazioni!$B$16,F408&lt;=Impostazioni!$B$17,G408&lt;=Impostazioni!$B$18),"OK","VERIFICA")</f>
        <v/>
      </c>
    </row>
    <row r="409">
      <c r="A409" s="2">
        <f>Impostazioni!$B$5</f>
        <v/>
      </c>
      <c r="B409" s="2">
        <f>SUMIF('Asta Live'!$F$4:$F$403,$A409,'Asta Live'!$G$4:$G$403)</f>
        <v/>
      </c>
      <c r="C409" s="2">
        <f>Impostazioni!$B$2-B409</f>
        <v/>
      </c>
      <c r="D409" s="2">
        <f>COUNTIFS('Asta Live'!$F$4:$F$403,$A409,'Asta Live'!$C$4:$C$403,"P")</f>
        <v/>
      </c>
      <c r="E409" s="2">
        <f>COUNTIFS('Asta Live'!$F$4:$F$403,$A409,'Asta Live'!$C$4:$C$403,"D")</f>
        <v/>
      </c>
      <c r="F409" s="2">
        <f>COUNTIFS('Asta Live'!$F$4:$F$403,$A409,'Asta Live'!$C$4:$C$403,"C")</f>
        <v/>
      </c>
      <c r="G409" s="2">
        <f>COUNTIFS('Asta Live'!$F$4:$F$403,$A409,'Asta Live'!$C$4:$C$403,"A")</f>
        <v/>
      </c>
      <c r="H409" s="2">
        <f>SUM(D409:G409)</f>
        <v/>
      </c>
      <c r="I409" s="2">
        <f>IF(AND(C409&gt;=0,D409&lt;=Impostazioni!$B$15,E409&lt;=Impostazioni!$B$16,F409&lt;=Impostazioni!$B$17,G409&lt;=Impostazioni!$B$18),"OK","VERIFICA")</f>
        <v/>
      </c>
    </row>
    <row r="410">
      <c r="A410" s="2">
        <f>Impostazioni!$B$6</f>
        <v/>
      </c>
      <c r="B410" s="2">
        <f>SUMIF('Asta Live'!$F$4:$F$403,$A410,'Asta Live'!$G$4:$G$403)</f>
        <v/>
      </c>
      <c r="C410" s="2">
        <f>Impostazioni!$B$2-B410</f>
        <v/>
      </c>
      <c r="D410" s="2">
        <f>COUNTIFS('Asta Live'!$F$4:$F$403,$A410,'Asta Live'!$C$4:$C$403,"P")</f>
        <v/>
      </c>
      <c r="E410" s="2">
        <f>COUNTIFS('Asta Live'!$F$4:$F$403,$A410,'Asta Live'!$C$4:$C$403,"D")</f>
        <v/>
      </c>
      <c r="F410" s="2">
        <f>COUNTIFS('Asta Live'!$F$4:$F$403,$A410,'Asta Live'!$C$4:$C$403,"C")</f>
        <v/>
      </c>
      <c r="G410" s="2">
        <f>COUNTIFS('Asta Live'!$F$4:$F$403,$A410,'Asta Live'!$C$4:$C$403,"A")</f>
        <v/>
      </c>
      <c r="H410" s="2">
        <f>SUM(D410:G410)</f>
        <v/>
      </c>
      <c r="I410" s="2">
        <f>IF(AND(C410&gt;=0,D410&lt;=Impostazioni!$B$15,E410&lt;=Impostazioni!$B$16,F410&lt;=Impostazioni!$B$17,G410&lt;=Impostazioni!$B$18),"OK","VERIFICA")</f>
        <v/>
      </c>
    </row>
    <row r="411">
      <c r="A411" s="2">
        <f>Impostazioni!$B$7</f>
        <v/>
      </c>
      <c r="B411" s="2">
        <f>SUMIF('Asta Live'!$F$4:$F$403,$A411,'Asta Live'!$G$4:$G$403)</f>
        <v/>
      </c>
      <c r="C411" s="2">
        <f>Impostazioni!$B$2-B411</f>
        <v/>
      </c>
      <c r="D411" s="2">
        <f>COUNTIFS('Asta Live'!$F$4:$F$403,$A411,'Asta Live'!$C$4:$C$403,"P")</f>
        <v/>
      </c>
      <c r="E411" s="2">
        <f>COUNTIFS('Asta Live'!$F$4:$F$403,$A411,'Asta Live'!$C$4:$C$403,"D")</f>
        <v/>
      </c>
      <c r="F411" s="2">
        <f>COUNTIFS('Asta Live'!$F$4:$F$403,$A411,'Asta Live'!$C$4:$C$403,"C")</f>
        <v/>
      </c>
      <c r="G411" s="2">
        <f>COUNTIFS('Asta Live'!$F$4:$F$403,$A411,'Asta Live'!$C$4:$C$403,"A")</f>
        <v/>
      </c>
      <c r="H411" s="2">
        <f>SUM(D411:G411)</f>
        <v/>
      </c>
      <c r="I411" s="2">
        <f>IF(AND(C411&gt;=0,D411&lt;=Impostazioni!$B$15,E411&lt;=Impostazioni!$B$16,F411&lt;=Impostazioni!$B$17,G411&lt;=Impostazioni!$B$18),"OK","VERIFICA")</f>
        <v/>
      </c>
    </row>
    <row r="412">
      <c r="A412" s="2">
        <f>Impostazioni!$B$8</f>
        <v/>
      </c>
      <c r="B412" s="2">
        <f>SUMIF('Asta Live'!$F$4:$F$403,$A412,'Asta Live'!$G$4:$G$403)</f>
        <v/>
      </c>
      <c r="C412" s="2">
        <f>Impostazioni!$B$2-B412</f>
        <v/>
      </c>
      <c r="D412" s="2">
        <f>COUNTIFS('Asta Live'!$F$4:$F$403,$A412,'Asta Live'!$C$4:$C$403,"P")</f>
        <v/>
      </c>
      <c r="E412" s="2">
        <f>COUNTIFS('Asta Live'!$F$4:$F$403,$A412,'Asta Live'!$C$4:$C$403,"D")</f>
        <v/>
      </c>
      <c r="F412" s="2">
        <f>COUNTIFS('Asta Live'!$F$4:$F$403,$A412,'Asta Live'!$C$4:$C$403,"C")</f>
        <v/>
      </c>
      <c r="G412" s="2">
        <f>COUNTIFS('Asta Live'!$F$4:$F$403,$A412,'Asta Live'!$C$4:$C$403,"A")</f>
        <v/>
      </c>
      <c r="H412" s="2">
        <f>SUM(D412:G412)</f>
        <v/>
      </c>
      <c r="I412" s="2">
        <f>IF(AND(C412&gt;=0,D412&lt;=Impostazioni!$B$15,E412&lt;=Impostazioni!$B$16,F412&lt;=Impostazioni!$B$17,G412&lt;=Impostazioni!$B$18),"OK","VERIFICA")</f>
        <v/>
      </c>
    </row>
    <row r="413">
      <c r="A413" s="2">
        <f>Impostazioni!$B$9</f>
        <v/>
      </c>
      <c r="B413" s="2">
        <f>SUMIF('Asta Live'!$F$4:$F$403,$A413,'Asta Live'!$G$4:$G$403)</f>
        <v/>
      </c>
      <c r="C413" s="2">
        <f>Impostazioni!$B$2-B413</f>
        <v/>
      </c>
      <c r="D413" s="2">
        <f>COUNTIFS('Asta Live'!$F$4:$F$403,$A413,'Asta Live'!$C$4:$C$403,"P")</f>
        <v/>
      </c>
      <c r="E413" s="2">
        <f>COUNTIFS('Asta Live'!$F$4:$F$403,$A413,'Asta Live'!$C$4:$C$403,"D")</f>
        <v/>
      </c>
      <c r="F413" s="2">
        <f>COUNTIFS('Asta Live'!$F$4:$F$403,$A413,'Asta Live'!$C$4:$C$403,"C")</f>
        <v/>
      </c>
      <c r="G413" s="2">
        <f>COUNTIFS('Asta Live'!$F$4:$F$403,$A413,'Asta Live'!$C$4:$C$403,"A")</f>
        <v/>
      </c>
      <c r="H413" s="2">
        <f>SUM(D413:G413)</f>
        <v/>
      </c>
      <c r="I413" s="2">
        <f>IF(AND(C413&gt;=0,D413&lt;=Impostazioni!$B$15,E413&lt;=Impostazioni!$B$16,F413&lt;=Impostazioni!$B$17,G413&lt;=Impostazioni!$B$18),"OK","VERIFICA")</f>
        <v/>
      </c>
    </row>
    <row r="414">
      <c r="A414" s="2">
        <f>Impostazioni!$B$10</f>
        <v/>
      </c>
      <c r="B414" s="2">
        <f>SUMIF('Asta Live'!$F$4:$F$403,$A414,'Asta Live'!$G$4:$G$403)</f>
        <v/>
      </c>
      <c r="C414" s="2">
        <f>Impostazioni!$B$2-B414</f>
        <v/>
      </c>
      <c r="D414" s="2">
        <f>COUNTIFS('Asta Live'!$F$4:$F$403,$A414,'Asta Live'!$C$4:$C$403,"P")</f>
        <v/>
      </c>
      <c r="E414" s="2">
        <f>COUNTIFS('Asta Live'!$F$4:$F$403,$A414,'Asta Live'!$C$4:$C$403,"D")</f>
        <v/>
      </c>
      <c r="F414" s="2">
        <f>COUNTIFS('Asta Live'!$F$4:$F$403,$A414,'Asta Live'!$C$4:$C$403,"C")</f>
        <v/>
      </c>
      <c r="G414" s="2">
        <f>COUNTIFS('Asta Live'!$F$4:$F$403,$A414,'Asta Live'!$C$4:$C$403,"A")</f>
        <v/>
      </c>
      <c r="H414" s="2">
        <f>SUM(D414:G414)</f>
        <v/>
      </c>
      <c r="I414" s="2">
        <f>IF(AND(C414&gt;=0,D414&lt;=Impostazioni!$B$15,E414&lt;=Impostazioni!$B$16,F414&lt;=Impostazioni!$B$17,G414&lt;=Impostazioni!$B$18),"OK","VERIFICA")</f>
        <v/>
      </c>
    </row>
    <row r="415">
      <c r="A415" s="2">
        <f>Impostazioni!$B$11</f>
        <v/>
      </c>
      <c r="B415" s="2">
        <f>SUMIF('Asta Live'!$F$4:$F$403,$A415,'Asta Live'!$G$4:$G$403)</f>
        <v/>
      </c>
      <c r="C415" s="2">
        <f>Impostazioni!$B$2-B415</f>
        <v/>
      </c>
      <c r="D415" s="2">
        <f>COUNTIFS('Asta Live'!$F$4:$F$403,$A415,'Asta Live'!$C$4:$C$403,"P")</f>
        <v/>
      </c>
      <c r="E415" s="2">
        <f>COUNTIFS('Asta Live'!$F$4:$F$403,$A415,'Asta Live'!$C$4:$C$403,"D")</f>
        <v/>
      </c>
      <c r="F415" s="2">
        <f>COUNTIFS('Asta Live'!$F$4:$F$403,$A415,'Asta Live'!$C$4:$C$403,"C")</f>
        <v/>
      </c>
      <c r="G415" s="2">
        <f>COUNTIFS('Asta Live'!$F$4:$F$403,$A415,'Asta Live'!$C$4:$C$403,"A")</f>
        <v/>
      </c>
      <c r="H415" s="2">
        <f>SUM(D415:G415)</f>
        <v/>
      </c>
      <c r="I415" s="2">
        <f>IF(AND(C415&gt;=0,D415&lt;=Impostazioni!$B$15,E415&lt;=Impostazioni!$B$16,F415&lt;=Impostazioni!$B$17,G415&lt;=Impostazioni!$B$18),"OK","VERIFICA")</f>
        <v/>
      </c>
    </row>
  </sheetData>
  <mergeCells count="1">
    <mergeCell ref="A1:J1"/>
  </mergeCells>
  <dataValidations count="2">
    <dataValidation sqref="A4:A403" showDropDown="0" showInputMessage="0" showErrorMessage="0" allowBlank="1" type="list">
      <formula1>NomiGiocatori</formula1>
    </dataValidation>
    <dataValidation sqref="F4:F403" showDropDown="0" showInputMessage="0" showErrorMessage="0" allowBlank="1" type="list">
      <formula1>Squadre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2" customWidth="1" min="4" max="4"/>
    <col width="22" customWidth="1" min="5" max="5"/>
    <col width="8" customWidth="1" min="6" max="6"/>
    <col width="9" customWidth="1" min="7" max="7"/>
    <col width="2" customWidth="1" min="8" max="8"/>
    <col width="22" customWidth="1" min="9" max="9"/>
    <col width="8" customWidth="1" min="10" max="10"/>
    <col width="9" customWidth="1" min="11" max="11"/>
    <col width="2" customWidth="1" min="12" max="12"/>
    <col width="22" customWidth="1" min="13" max="13"/>
    <col width="8" customWidth="1" min="14" max="14"/>
    <col width="9" customWidth="1" min="15" max="15"/>
    <col width="2" customWidth="1" min="16" max="16"/>
  </cols>
  <sheetData>
    <row r="1">
      <c r="A1" s="3" t="inlineStr">
        <is>
          <t>TABELLONE UFFICIALE — ASTA MANTRA</t>
        </is>
      </c>
    </row>
    <row r="3">
      <c r="A3" s="10">
        <f>Impostazioni!$B$4</f>
        <v/>
      </c>
      <c r="E3" s="10">
        <f>Impostazioni!$B$5</f>
        <v/>
      </c>
      <c r="I3" s="10">
        <f>Impostazioni!$B$6</f>
        <v/>
      </c>
      <c r="M3" s="10">
        <f>Impostazioni!$B$7</f>
        <v/>
      </c>
    </row>
    <row r="4">
      <c r="A4" s="11" t="inlineStr">
        <is>
          <t>PORTIERI</t>
        </is>
      </c>
      <c r="E4" s="11" t="inlineStr">
        <is>
          <t>PORTIERI</t>
        </is>
      </c>
      <c r="I4" s="11" t="inlineStr">
        <is>
          <t>PORTIERI</t>
        </is>
      </c>
      <c r="M4" s="11" t="inlineStr">
        <is>
          <t>PORTIERI</t>
        </is>
      </c>
    </row>
    <row r="5">
      <c r="A5" s="12">
        <f>IFERROR(INDEX('Asta Live'!$A$4:$A$403,MATCH(Impostazioni!$B$4&amp;"|"&amp;"P"&amp;"|"&amp;1,'Asta Live'!$J$4:$J$403,0)),"")</f>
        <v/>
      </c>
      <c r="B5" s="13">
        <f>IFERROR(INDEX('Asta Live'!$D$4:$D$403,MATCH(Impostazioni!$B$4&amp;"|"&amp;"P"&amp;"|"&amp;1,'Asta Live'!$J$4:$J$403,0)),"")</f>
        <v/>
      </c>
      <c r="C5" s="12">
        <f>IFERROR(INDEX('Asta Live'!$G$4:$G$403,MATCH(Impostazioni!$B$4&amp;"|"&amp;"P"&amp;"|"&amp;1,'Asta Live'!$J$4:$J$403,0)),"")</f>
        <v/>
      </c>
      <c r="E5" s="12">
        <f>IFERROR(INDEX('Asta Live'!$A$4:$A$403,MATCH(Impostazioni!$B$5&amp;"|"&amp;"P"&amp;"|"&amp;1,'Asta Live'!$J$4:$J$403,0)),"")</f>
        <v/>
      </c>
      <c r="F5" s="13">
        <f>IFERROR(INDEX('Asta Live'!$D$4:$D$403,MATCH(Impostazioni!$B$5&amp;"|"&amp;"P"&amp;"|"&amp;1,'Asta Live'!$J$4:$J$403,0)),"")</f>
        <v/>
      </c>
      <c r="G5" s="12">
        <f>IFERROR(INDEX('Asta Live'!$G$4:$G$403,MATCH(Impostazioni!$B$5&amp;"|"&amp;"P"&amp;"|"&amp;1,'Asta Live'!$J$4:$J$403,0)),"")</f>
        <v/>
      </c>
      <c r="I5" s="12">
        <f>IFERROR(INDEX('Asta Live'!$A$4:$A$403,MATCH(Impostazioni!$B$6&amp;"|"&amp;"P"&amp;"|"&amp;1,'Asta Live'!$J$4:$J$403,0)),"")</f>
        <v/>
      </c>
      <c r="J5" s="13">
        <f>IFERROR(INDEX('Asta Live'!$D$4:$D$403,MATCH(Impostazioni!$B$6&amp;"|"&amp;"P"&amp;"|"&amp;1,'Asta Live'!$J$4:$J$403,0)),"")</f>
        <v/>
      </c>
      <c r="K5" s="12">
        <f>IFERROR(INDEX('Asta Live'!$G$4:$G$403,MATCH(Impostazioni!$B$6&amp;"|"&amp;"P"&amp;"|"&amp;1,'Asta Live'!$J$4:$J$403,0)),"")</f>
        <v/>
      </c>
      <c r="M5" s="12">
        <f>IFERROR(INDEX('Asta Live'!$A$4:$A$403,MATCH(Impostazioni!$B$7&amp;"|"&amp;"P"&amp;"|"&amp;1,'Asta Live'!$J$4:$J$403,0)),"")</f>
        <v/>
      </c>
      <c r="N5" s="13">
        <f>IFERROR(INDEX('Asta Live'!$D$4:$D$403,MATCH(Impostazioni!$B$7&amp;"|"&amp;"P"&amp;"|"&amp;1,'Asta Live'!$J$4:$J$403,0)),"")</f>
        <v/>
      </c>
      <c r="O5" s="12">
        <f>IFERROR(INDEX('Asta Live'!$G$4:$G$403,MATCH(Impostazioni!$B$7&amp;"|"&amp;"P"&amp;"|"&amp;1,'Asta Live'!$J$4:$J$403,0)),"")</f>
        <v/>
      </c>
    </row>
    <row r="6">
      <c r="A6" s="12">
        <f>IFERROR(INDEX('Asta Live'!$A$4:$A$403,MATCH(Impostazioni!$B$4&amp;"|"&amp;"P"&amp;"|"&amp;2,'Asta Live'!$J$4:$J$403,0)),"")</f>
        <v/>
      </c>
      <c r="B6" s="13">
        <f>IFERROR(INDEX('Asta Live'!$D$4:$D$403,MATCH(Impostazioni!$B$4&amp;"|"&amp;"P"&amp;"|"&amp;2,'Asta Live'!$J$4:$J$403,0)),"")</f>
        <v/>
      </c>
      <c r="C6" s="12">
        <f>IFERROR(INDEX('Asta Live'!$G$4:$G$403,MATCH(Impostazioni!$B$4&amp;"|"&amp;"P"&amp;"|"&amp;2,'Asta Live'!$J$4:$J$403,0)),"")</f>
        <v/>
      </c>
      <c r="E6" s="12">
        <f>IFERROR(INDEX('Asta Live'!$A$4:$A$403,MATCH(Impostazioni!$B$5&amp;"|"&amp;"P"&amp;"|"&amp;2,'Asta Live'!$J$4:$J$403,0)),"")</f>
        <v/>
      </c>
      <c r="F6" s="13">
        <f>IFERROR(INDEX('Asta Live'!$D$4:$D$403,MATCH(Impostazioni!$B$5&amp;"|"&amp;"P"&amp;"|"&amp;2,'Asta Live'!$J$4:$J$403,0)),"")</f>
        <v/>
      </c>
      <c r="G6" s="12">
        <f>IFERROR(INDEX('Asta Live'!$G$4:$G$403,MATCH(Impostazioni!$B$5&amp;"|"&amp;"P"&amp;"|"&amp;2,'Asta Live'!$J$4:$J$403,0)),"")</f>
        <v/>
      </c>
      <c r="I6" s="12">
        <f>IFERROR(INDEX('Asta Live'!$A$4:$A$403,MATCH(Impostazioni!$B$6&amp;"|"&amp;"P"&amp;"|"&amp;2,'Asta Live'!$J$4:$J$403,0)),"")</f>
        <v/>
      </c>
      <c r="J6" s="13">
        <f>IFERROR(INDEX('Asta Live'!$D$4:$D$403,MATCH(Impostazioni!$B$6&amp;"|"&amp;"P"&amp;"|"&amp;2,'Asta Live'!$J$4:$J$403,0)),"")</f>
        <v/>
      </c>
      <c r="K6" s="12">
        <f>IFERROR(INDEX('Asta Live'!$G$4:$G$403,MATCH(Impostazioni!$B$6&amp;"|"&amp;"P"&amp;"|"&amp;2,'Asta Live'!$J$4:$J$403,0)),"")</f>
        <v/>
      </c>
      <c r="M6" s="12">
        <f>IFERROR(INDEX('Asta Live'!$A$4:$A$403,MATCH(Impostazioni!$B$7&amp;"|"&amp;"P"&amp;"|"&amp;2,'Asta Live'!$J$4:$J$403,0)),"")</f>
        <v/>
      </c>
      <c r="N6" s="13">
        <f>IFERROR(INDEX('Asta Live'!$D$4:$D$403,MATCH(Impostazioni!$B$7&amp;"|"&amp;"P"&amp;"|"&amp;2,'Asta Live'!$J$4:$J$403,0)),"")</f>
        <v/>
      </c>
      <c r="O6" s="12">
        <f>IFERROR(INDEX('Asta Live'!$G$4:$G$403,MATCH(Impostazioni!$B$7&amp;"|"&amp;"P"&amp;"|"&amp;2,'Asta Live'!$J$4:$J$403,0)),"")</f>
        <v/>
      </c>
    </row>
    <row r="7">
      <c r="A7" s="12">
        <f>IFERROR(INDEX('Asta Live'!$A$4:$A$403,MATCH(Impostazioni!$B$4&amp;"|"&amp;"P"&amp;"|"&amp;3,'Asta Live'!$J$4:$J$403,0)),"")</f>
        <v/>
      </c>
      <c r="B7" s="13">
        <f>IFERROR(INDEX('Asta Live'!$D$4:$D$403,MATCH(Impostazioni!$B$4&amp;"|"&amp;"P"&amp;"|"&amp;3,'Asta Live'!$J$4:$J$403,0)),"")</f>
        <v/>
      </c>
      <c r="C7" s="12">
        <f>IFERROR(INDEX('Asta Live'!$G$4:$G$403,MATCH(Impostazioni!$B$4&amp;"|"&amp;"P"&amp;"|"&amp;3,'Asta Live'!$J$4:$J$403,0)),"")</f>
        <v/>
      </c>
      <c r="E7" s="12">
        <f>IFERROR(INDEX('Asta Live'!$A$4:$A$403,MATCH(Impostazioni!$B$5&amp;"|"&amp;"P"&amp;"|"&amp;3,'Asta Live'!$J$4:$J$403,0)),"")</f>
        <v/>
      </c>
      <c r="F7" s="13">
        <f>IFERROR(INDEX('Asta Live'!$D$4:$D$403,MATCH(Impostazioni!$B$5&amp;"|"&amp;"P"&amp;"|"&amp;3,'Asta Live'!$J$4:$J$403,0)),"")</f>
        <v/>
      </c>
      <c r="G7" s="12">
        <f>IFERROR(INDEX('Asta Live'!$G$4:$G$403,MATCH(Impostazioni!$B$5&amp;"|"&amp;"P"&amp;"|"&amp;3,'Asta Live'!$J$4:$J$403,0)),"")</f>
        <v/>
      </c>
      <c r="I7" s="12">
        <f>IFERROR(INDEX('Asta Live'!$A$4:$A$403,MATCH(Impostazioni!$B$6&amp;"|"&amp;"P"&amp;"|"&amp;3,'Asta Live'!$J$4:$J$403,0)),"")</f>
        <v/>
      </c>
      <c r="J7" s="13">
        <f>IFERROR(INDEX('Asta Live'!$D$4:$D$403,MATCH(Impostazioni!$B$6&amp;"|"&amp;"P"&amp;"|"&amp;3,'Asta Live'!$J$4:$J$403,0)),"")</f>
        <v/>
      </c>
      <c r="K7" s="12">
        <f>IFERROR(INDEX('Asta Live'!$G$4:$G$403,MATCH(Impostazioni!$B$6&amp;"|"&amp;"P"&amp;"|"&amp;3,'Asta Live'!$J$4:$J$403,0)),"")</f>
        <v/>
      </c>
      <c r="M7" s="12">
        <f>IFERROR(INDEX('Asta Live'!$A$4:$A$403,MATCH(Impostazioni!$B$7&amp;"|"&amp;"P"&amp;"|"&amp;3,'Asta Live'!$J$4:$J$403,0)),"")</f>
        <v/>
      </c>
      <c r="N7" s="13">
        <f>IFERROR(INDEX('Asta Live'!$D$4:$D$403,MATCH(Impostazioni!$B$7&amp;"|"&amp;"P"&amp;"|"&amp;3,'Asta Live'!$J$4:$J$403,0)),"")</f>
        <v/>
      </c>
      <c r="O7" s="12">
        <f>IFERROR(INDEX('Asta Live'!$G$4:$G$403,MATCH(Impostazioni!$B$7&amp;"|"&amp;"P"&amp;"|"&amp;3,'Asta Live'!$J$4:$J$403,0)),"")</f>
        <v/>
      </c>
    </row>
    <row r="8">
      <c r="A8" s="14" t="inlineStr">
        <is>
          <t>Totale Portieri</t>
        </is>
      </c>
      <c r="B8" s="15" t="n"/>
      <c r="C8" s="14">
        <f>SUM(C5:C7)</f>
        <v/>
      </c>
      <c r="E8" s="14" t="inlineStr">
        <is>
          <t>Totale Portieri</t>
        </is>
      </c>
      <c r="F8" s="15" t="n"/>
      <c r="G8" s="14">
        <f>SUM(G5:G7)</f>
        <v/>
      </c>
      <c r="I8" s="14" t="inlineStr">
        <is>
          <t>Totale Portieri</t>
        </is>
      </c>
      <c r="J8" s="15" t="n"/>
      <c r="K8" s="14">
        <f>SUM(K5:K7)</f>
        <v/>
      </c>
      <c r="M8" s="14" t="inlineStr">
        <is>
          <t>Totale Portieri</t>
        </is>
      </c>
      <c r="N8" s="15" t="n"/>
      <c r="O8" s="14">
        <f>SUM(O5:O7)</f>
        <v/>
      </c>
    </row>
    <row r="9">
      <c r="A9" s="16" t="inlineStr">
        <is>
          <t>DIFENSORI</t>
        </is>
      </c>
      <c r="E9" s="16" t="inlineStr">
        <is>
          <t>DIFENSORI</t>
        </is>
      </c>
      <c r="I9" s="16" t="inlineStr">
        <is>
          <t>DIFENSORI</t>
        </is>
      </c>
      <c r="M9" s="16" t="inlineStr">
        <is>
          <t>DIFENSORI</t>
        </is>
      </c>
    </row>
    <row r="10">
      <c r="A10" s="12">
        <f>IFERROR(INDEX('Asta Live'!$A$4:$A$403,MATCH(Impostazioni!$B$4&amp;"|"&amp;"D"&amp;"|"&amp;1,'Asta Live'!$J$4:$J$403,0)),"")</f>
        <v/>
      </c>
      <c r="B10" s="13">
        <f>IFERROR(INDEX('Asta Live'!$D$4:$D$403,MATCH(Impostazioni!$B$4&amp;"|"&amp;"D"&amp;"|"&amp;1,'Asta Live'!$J$4:$J$403,0)),"")</f>
        <v/>
      </c>
      <c r="C10" s="12">
        <f>IFERROR(INDEX('Asta Live'!$G$4:$G$403,MATCH(Impostazioni!$B$4&amp;"|"&amp;"D"&amp;"|"&amp;1,'Asta Live'!$J$4:$J$403,0)),"")</f>
        <v/>
      </c>
      <c r="E10" s="12">
        <f>IFERROR(INDEX('Asta Live'!$A$4:$A$403,MATCH(Impostazioni!$B$5&amp;"|"&amp;"D"&amp;"|"&amp;1,'Asta Live'!$J$4:$J$403,0)),"")</f>
        <v/>
      </c>
      <c r="F10" s="13">
        <f>IFERROR(INDEX('Asta Live'!$D$4:$D$403,MATCH(Impostazioni!$B$5&amp;"|"&amp;"D"&amp;"|"&amp;1,'Asta Live'!$J$4:$J$403,0)),"")</f>
        <v/>
      </c>
      <c r="G10" s="12">
        <f>IFERROR(INDEX('Asta Live'!$G$4:$G$403,MATCH(Impostazioni!$B$5&amp;"|"&amp;"D"&amp;"|"&amp;1,'Asta Live'!$J$4:$J$403,0)),"")</f>
        <v/>
      </c>
      <c r="I10" s="12">
        <f>IFERROR(INDEX('Asta Live'!$A$4:$A$403,MATCH(Impostazioni!$B$6&amp;"|"&amp;"D"&amp;"|"&amp;1,'Asta Live'!$J$4:$J$403,0)),"")</f>
        <v/>
      </c>
      <c r="J10" s="13">
        <f>IFERROR(INDEX('Asta Live'!$D$4:$D$403,MATCH(Impostazioni!$B$6&amp;"|"&amp;"D"&amp;"|"&amp;1,'Asta Live'!$J$4:$J$403,0)),"")</f>
        <v/>
      </c>
      <c r="K10" s="12">
        <f>IFERROR(INDEX('Asta Live'!$G$4:$G$403,MATCH(Impostazioni!$B$6&amp;"|"&amp;"D"&amp;"|"&amp;1,'Asta Live'!$J$4:$J$403,0)),"")</f>
        <v/>
      </c>
      <c r="M10" s="12">
        <f>IFERROR(INDEX('Asta Live'!$A$4:$A$403,MATCH(Impostazioni!$B$7&amp;"|"&amp;"D"&amp;"|"&amp;1,'Asta Live'!$J$4:$J$403,0)),"")</f>
        <v/>
      </c>
      <c r="N10" s="13">
        <f>IFERROR(INDEX('Asta Live'!$D$4:$D$403,MATCH(Impostazioni!$B$7&amp;"|"&amp;"D"&amp;"|"&amp;1,'Asta Live'!$J$4:$J$403,0)),"")</f>
        <v/>
      </c>
      <c r="O10" s="12">
        <f>IFERROR(INDEX('Asta Live'!$G$4:$G$403,MATCH(Impostazioni!$B$7&amp;"|"&amp;"D"&amp;"|"&amp;1,'Asta Live'!$J$4:$J$403,0)),"")</f>
        <v/>
      </c>
    </row>
    <row r="11">
      <c r="A11" s="12">
        <f>IFERROR(INDEX('Asta Live'!$A$4:$A$403,MATCH(Impostazioni!$B$4&amp;"|"&amp;"D"&amp;"|"&amp;2,'Asta Live'!$J$4:$J$403,0)),"")</f>
        <v/>
      </c>
      <c r="B11" s="13">
        <f>IFERROR(INDEX('Asta Live'!$D$4:$D$403,MATCH(Impostazioni!$B$4&amp;"|"&amp;"D"&amp;"|"&amp;2,'Asta Live'!$J$4:$J$403,0)),"")</f>
        <v/>
      </c>
      <c r="C11" s="12">
        <f>IFERROR(INDEX('Asta Live'!$G$4:$G$403,MATCH(Impostazioni!$B$4&amp;"|"&amp;"D"&amp;"|"&amp;2,'Asta Live'!$J$4:$J$403,0)),"")</f>
        <v/>
      </c>
      <c r="E11" s="12">
        <f>IFERROR(INDEX('Asta Live'!$A$4:$A$403,MATCH(Impostazioni!$B$5&amp;"|"&amp;"D"&amp;"|"&amp;2,'Asta Live'!$J$4:$J$403,0)),"")</f>
        <v/>
      </c>
      <c r="F11" s="13">
        <f>IFERROR(INDEX('Asta Live'!$D$4:$D$403,MATCH(Impostazioni!$B$5&amp;"|"&amp;"D"&amp;"|"&amp;2,'Asta Live'!$J$4:$J$403,0)),"")</f>
        <v/>
      </c>
      <c r="G11" s="12">
        <f>IFERROR(INDEX('Asta Live'!$G$4:$G$403,MATCH(Impostazioni!$B$5&amp;"|"&amp;"D"&amp;"|"&amp;2,'Asta Live'!$J$4:$J$403,0)),"")</f>
        <v/>
      </c>
      <c r="I11" s="12">
        <f>IFERROR(INDEX('Asta Live'!$A$4:$A$403,MATCH(Impostazioni!$B$6&amp;"|"&amp;"D"&amp;"|"&amp;2,'Asta Live'!$J$4:$J$403,0)),"")</f>
        <v/>
      </c>
      <c r="J11" s="13">
        <f>IFERROR(INDEX('Asta Live'!$D$4:$D$403,MATCH(Impostazioni!$B$6&amp;"|"&amp;"D"&amp;"|"&amp;2,'Asta Live'!$J$4:$J$403,0)),"")</f>
        <v/>
      </c>
      <c r="K11" s="12">
        <f>IFERROR(INDEX('Asta Live'!$G$4:$G$403,MATCH(Impostazioni!$B$6&amp;"|"&amp;"D"&amp;"|"&amp;2,'Asta Live'!$J$4:$J$403,0)),"")</f>
        <v/>
      </c>
      <c r="M11" s="12">
        <f>IFERROR(INDEX('Asta Live'!$A$4:$A$403,MATCH(Impostazioni!$B$7&amp;"|"&amp;"D"&amp;"|"&amp;2,'Asta Live'!$J$4:$J$403,0)),"")</f>
        <v/>
      </c>
      <c r="N11" s="13">
        <f>IFERROR(INDEX('Asta Live'!$D$4:$D$403,MATCH(Impostazioni!$B$7&amp;"|"&amp;"D"&amp;"|"&amp;2,'Asta Live'!$J$4:$J$403,0)),"")</f>
        <v/>
      </c>
      <c r="O11" s="12">
        <f>IFERROR(INDEX('Asta Live'!$G$4:$G$403,MATCH(Impostazioni!$B$7&amp;"|"&amp;"D"&amp;"|"&amp;2,'Asta Live'!$J$4:$J$403,0)),"")</f>
        <v/>
      </c>
    </row>
    <row r="12">
      <c r="A12" s="12">
        <f>IFERROR(INDEX('Asta Live'!$A$4:$A$403,MATCH(Impostazioni!$B$4&amp;"|"&amp;"D"&amp;"|"&amp;3,'Asta Live'!$J$4:$J$403,0)),"")</f>
        <v/>
      </c>
      <c r="B12" s="13">
        <f>IFERROR(INDEX('Asta Live'!$D$4:$D$403,MATCH(Impostazioni!$B$4&amp;"|"&amp;"D"&amp;"|"&amp;3,'Asta Live'!$J$4:$J$403,0)),"")</f>
        <v/>
      </c>
      <c r="C12" s="12">
        <f>IFERROR(INDEX('Asta Live'!$G$4:$G$403,MATCH(Impostazioni!$B$4&amp;"|"&amp;"D"&amp;"|"&amp;3,'Asta Live'!$J$4:$J$403,0)),"")</f>
        <v/>
      </c>
      <c r="E12" s="12">
        <f>IFERROR(INDEX('Asta Live'!$A$4:$A$403,MATCH(Impostazioni!$B$5&amp;"|"&amp;"D"&amp;"|"&amp;3,'Asta Live'!$J$4:$J$403,0)),"")</f>
        <v/>
      </c>
      <c r="F12" s="13">
        <f>IFERROR(INDEX('Asta Live'!$D$4:$D$403,MATCH(Impostazioni!$B$5&amp;"|"&amp;"D"&amp;"|"&amp;3,'Asta Live'!$J$4:$J$403,0)),"")</f>
        <v/>
      </c>
      <c r="G12" s="12">
        <f>IFERROR(INDEX('Asta Live'!$G$4:$G$403,MATCH(Impostazioni!$B$5&amp;"|"&amp;"D"&amp;"|"&amp;3,'Asta Live'!$J$4:$J$403,0)),"")</f>
        <v/>
      </c>
      <c r="I12" s="12">
        <f>IFERROR(INDEX('Asta Live'!$A$4:$A$403,MATCH(Impostazioni!$B$6&amp;"|"&amp;"D"&amp;"|"&amp;3,'Asta Live'!$J$4:$J$403,0)),"")</f>
        <v/>
      </c>
      <c r="J12" s="13">
        <f>IFERROR(INDEX('Asta Live'!$D$4:$D$403,MATCH(Impostazioni!$B$6&amp;"|"&amp;"D"&amp;"|"&amp;3,'Asta Live'!$J$4:$J$403,0)),"")</f>
        <v/>
      </c>
      <c r="K12" s="12">
        <f>IFERROR(INDEX('Asta Live'!$G$4:$G$403,MATCH(Impostazioni!$B$6&amp;"|"&amp;"D"&amp;"|"&amp;3,'Asta Live'!$J$4:$J$403,0)),"")</f>
        <v/>
      </c>
      <c r="M12" s="12">
        <f>IFERROR(INDEX('Asta Live'!$A$4:$A$403,MATCH(Impostazioni!$B$7&amp;"|"&amp;"D"&amp;"|"&amp;3,'Asta Live'!$J$4:$J$403,0)),"")</f>
        <v/>
      </c>
      <c r="N12" s="13">
        <f>IFERROR(INDEX('Asta Live'!$D$4:$D$403,MATCH(Impostazioni!$B$7&amp;"|"&amp;"D"&amp;"|"&amp;3,'Asta Live'!$J$4:$J$403,0)),"")</f>
        <v/>
      </c>
      <c r="O12" s="12">
        <f>IFERROR(INDEX('Asta Live'!$G$4:$G$403,MATCH(Impostazioni!$B$7&amp;"|"&amp;"D"&amp;"|"&amp;3,'Asta Live'!$J$4:$J$403,0)),"")</f>
        <v/>
      </c>
    </row>
    <row r="13">
      <c r="A13" s="12">
        <f>IFERROR(INDEX('Asta Live'!$A$4:$A$403,MATCH(Impostazioni!$B$4&amp;"|"&amp;"D"&amp;"|"&amp;4,'Asta Live'!$J$4:$J$403,0)),"")</f>
        <v/>
      </c>
      <c r="B13" s="13">
        <f>IFERROR(INDEX('Asta Live'!$D$4:$D$403,MATCH(Impostazioni!$B$4&amp;"|"&amp;"D"&amp;"|"&amp;4,'Asta Live'!$J$4:$J$403,0)),"")</f>
        <v/>
      </c>
      <c r="C13" s="12">
        <f>IFERROR(INDEX('Asta Live'!$G$4:$G$403,MATCH(Impostazioni!$B$4&amp;"|"&amp;"D"&amp;"|"&amp;4,'Asta Live'!$J$4:$J$403,0)),"")</f>
        <v/>
      </c>
      <c r="E13" s="12">
        <f>IFERROR(INDEX('Asta Live'!$A$4:$A$403,MATCH(Impostazioni!$B$5&amp;"|"&amp;"D"&amp;"|"&amp;4,'Asta Live'!$J$4:$J$403,0)),"")</f>
        <v/>
      </c>
      <c r="F13" s="13">
        <f>IFERROR(INDEX('Asta Live'!$D$4:$D$403,MATCH(Impostazioni!$B$5&amp;"|"&amp;"D"&amp;"|"&amp;4,'Asta Live'!$J$4:$J$403,0)),"")</f>
        <v/>
      </c>
      <c r="G13" s="12">
        <f>IFERROR(INDEX('Asta Live'!$G$4:$G$403,MATCH(Impostazioni!$B$5&amp;"|"&amp;"D"&amp;"|"&amp;4,'Asta Live'!$J$4:$J$403,0)),"")</f>
        <v/>
      </c>
      <c r="I13" s="12">
        <f>IFERROR(INDEX('Asta Live'!$A$4:$A$403,MATCH(Impostazioni!$B$6&amp;"|"&amp;"D"&amp;"|"&amp;4,'Asta Live'!$J$4:$J$403,0)),"")</f>
        <v/>
      </c>
      <c r="J13" s="13">
        <f>IFERROR(INDEX('Asta Live'!$D$4:$D$403,MATCH(Impostazioni!$B$6&amp;"|"&amp;"D"&amp;"|"&amp;4,'Asta Live'!$J$4:$J$403,0)),"")</f>
        <v/>
      </c>
      <c r="K13" s="12">
        <f>IFERROR(INDEX('Asta Live'!$G$4:$G$403,MATCH(Impostazioni!$B$6&amp;"|"&amp;"D"&amp;"|"&amp;4,'Asta Live'!$J$4:$J$403,0)),"")</f>
        <v/>
      </c>
      <c r="M13" s="12">
        <f>IFERROR(INDEX('Asta Live'!$A$4:$A$403,MATCH(Impostazioni!$B$7&amp;"|"&amp;"D"&amp;"|"&amp;4,'Asta Live'!$J$4:$J$403,0)),"")</f>
        <v/>
      </c>
      <c r="N13" s="13">
        <f>IFERROR(INDEX('Asta Live'!$D$4:$D$403,MATCH(Impostazioni!$B$7&amp;"|"&amp;"D"&amp;"|"&amp;4,'Asta Live'!$J$4:$J$403,0)),"")</f>
        <v/>
      </c>
      <c r="O13" s="12">
        <f>IFERROR(INDEX('Asta Live'!$G$4:$G$403,MATCH(Impostazioni!$B$7&amp;"|"&amp;"D"&amp;"|"&amp;4,'Asta Live'!$J$4:$J$403,0)),"")</f>
        <v/>
      </c>
    </row>
    <row r="14">
      <c r="A14" s="12">
        <f>IFERROR(INDEX('Asta Live'!$A$4:$A$403,MATCH(Impostazioni!$B$4&amp;"|"&amp;"D"&amp;"|"&amp;5,'Asta Live'!$J$4:$J$403,0)),"")</f>
        <v/>
      </c>
      <c r="B14" s="13">
        <f>IFERROR(INDEX('Asta Live'!$D$4:$D$403,MATCH(Impostazioni!$B$4&amp;"|"&amp;"D"&amp;"|"&amp;5,'Asta Live'!$J$4:$J$403,0)),"")</f>
        <v/>
      </c>
      <c r="C14" s="12">
        <f>IFERROR(INDEX('Asta Live'!$G$4:$G$403,MATCH(Impostazioni!$B$4&amp;"|"&amp;"D"&amp;"|"&amp;5,'Asta Live'!$J$4:$J$403,0)),"")</f>
        <v/>
      </c>
      <c r="E14" s="12">
        <f>IFERROR(INDEX('Asta Live'!$A$4:$A$403,MATCH(Impostazioni!$B$5&amp;"|"&amp;"D"&amp;"|"&amp;5,'Asta Live'!$J$4:$J$403,0)),"")</f>
        <v/>
      </c>
      <c r="F14" s="13">
        <f>IFERROR(INDEX('Asta Live'!$D$4:$D$403,MATCH(Impostazioni!$B$5&amp;"|"&amp;"D"&amp;"|"&amp;5,'Asta Live'!$J$4:$J$403,0)),"")</f>
        <v/>
      </c>
      <c r="G14" s="12">
        <f>IFERROR(INDEX('Asta Live'!$G$4:$G$403,MATCH(Impostazioni!$B$5&amp;"|"&amp;"D"&amp;"|"&amp;5,'Asta Live'!$J$4:$J$403,0)),"")</f>
        <v/>
      </c>
      <c r="I14" s="12">
        <f>IFERROR(INDEX('Asta Live'!$A$4:$A$403,MATCH(Impostazioni!$B$6&amp;"|"&amp;"D"&amp;"|"&amp;5,'Asta Live'!$J$4:$J$403,0)),"")</f>
        <v/>
      </c>
      <c r="J14" s="13">
        <f>IFERROR(INDEX('Asta Live'!$D$4:$D$403,MATCH(Impostazioni!$B$6&amp;"|"&amp;"D"&amp;"|"&amp;5,'Asta Live'!$J$4:$J$403,0)),"")</f>
        <v/>
      </c>
      <c r="K14" s="12">
        <f>IFERROR(INDEX('Asta Live'!$G$4:$G$403,MATCH(Impostazioni!$B$6&amp;"|"&amp;"D"&amp;"|"&amp;5,'Asta Live'!$J$4:$J$403,0)),"")</f>
        <v/>
      </c>
      <c r="M14" s="12">
        <f>IFERROR(INDEX('Asta Live'!$A$4:$A$403,MATCH(Impostazioni!$B$7&amp;"|"&amp;"D"&amp;"|"&amp;5,'Asta Live'!$J$4:$J$403,0)),"")</f>
        <v/>
      </c>
      <c r="N14" s="13">
        <f>IFERROR(INDEX('Asta Live'!$D$4:$D$403,MATCH(Impostazioni!$B$7&amp;"|"&amp;"D"&amp;"|"&amp;5,'Asta Live'!$J$4:$J$403,0)),"")</f>
        <v/>
      </c>
      <c r="O14" s="12">
        <f>IFERROR(INDEX('Asta Live'!$G$4:$G$403,MATCH(Impostazioni!$B$7&amp;"|"&amp;"D"&amp;"|"&amp;5,'Asta Live'!$J$4:$J$403,0)),"")</f>
        <v/>
      </c>
    </row>
    <row r="15">
      <c r="A15" s="12">
        <f>IFERROR(INDEX('Asta Live'!$A$4:$A$403,MATCH(Impostazioni!$B$4&amp;"|"&amp;"D"&amp;"|"&amp;6,'Asta Live'!$J$4:$J$403,0)),"")</f>
        <v/>
      </c>
      <c r="B15" s="13">
        <f>IFERROR(INDEX('Asta Live'!$D$4:$D$403,MATCH(Impostazioni!$B$4&amp;"|"&amp;"D"&amp;"|"&amp;6,'Asta Live'!$J$4:$J$403,0)),"")</f>
        <v/>
      </c>
      <c r="C15" s="12">
        <f>IFERROR(INDEX('Asta Live'!$G$4:$G$403,MATCH(Impostazioni!$B$4&amp;"|"&amp;"D"&amp;"|"&amp;6,'Asta Live'!$J$4:$J$403,0)),"")</f>
        <v/>
      </c>
      <c r="E15" s="12">
        <f>IFERROR(INDEX('Asta Live'!$A$4:$A$403,MATCH(Impostazioni!$B$5&amp;"|"&amp;"D"&amp;"|"&amp;6,'Asta Live'!$J$4:$J$403,0)),"")</f>
        <v/>
      </c>
      <c r="F15" s="13">
        <f>IFERROR(INDEX('Asta Live'!$D$4:$D$403,MATCH(Impostazioni!$B$5&amp;"|"&amp;"D"&amp;"|"&amp;6,'Asta Live'!$J$4:$J$403,0)),"")</f>
        <v/>
      </c>
      <c r="G15" s="12">
        <f>IFERROR(INDEX('Asta Live'!$G$4:$G$403,MATCH(Impostazioni!$B$5&amp;"|"&amp;"D"&amp;"|"&amp;6,'Asta Live'!$J$4:$J$403,0)),"")</f>
        <v/>
      </c>
      <c r="I15" s="12">
        <f>IFERROR(INDEX('Asta Live'!$A$4:$A$403,MATCH(Impostazioni!$B$6&amp;"|"&amp;"D"&amp;"|"&amp;6,'Asta Live'!$J$4:$J$403,0)),"")</f>
        <v/>
      </c>
      <c r="J15" s="13">
        <f>IFERROR(INDEX('Asta Live'!$D$4:$D$403,MATCH(Impostazioni!$B$6&amp;"|"&amp;"D"&amp;"|"&amp;6,'Asta Live'!$J$4:$J$403,0)),"")</f>
        <v/>
      </c>
      <c r="K15" s="12">
        <f>IFERROR(INDEX('Asta Live'!$G$4:$G$403,MATCH(Impostazioni!$B$6&amp;"|"&amp;"D"&amp;"|"&amp;6,'Asta Live'!$J$4:$J$403,0)),"")</f>
        <v/>
      </c>
      <c r="M15" s="12">
        <f>IFERROR(INDEX('Asta Live'!$A$4:$A$403,MATCH(Impostazioni!$B$7&amp;"|"&amp;"D"&amp;"|"&amp;6,'Asta Live'!$J$4:$J$403,0)),"")</f>
        <v/>
      </c>
      <c r="N15" s="13">
        <f>IFERROR(INDEX('Asta Live'!$D$4:$D$403,MATCH(Impostazioni!$B$7&amp;"|"&amp;"D"&amp;"|"&amp;6,'Asta Live'!$J$4:$J$403,0)),"")</f>
        <v/>
      </c>
      <c r="O15" s="12">
        <f>IFERROR(INDEX('Asta Live'!$G$4:$G$403,MATCH(Impostazioni!$B$7&amp;"|"&amp;"D"&amp;"|"&amp;6,'Asta Live'!$J$4:$J$403,0)),"")</f>
        <v/>
      </c>
    </row>
    <row r="16">
      <c r="A16" s="12">
        <f>IFERROR(INDEX('Asta Live'!$A$4:$A$403,MATCH(Impostazioni!$B$4&amp;"|"&amp;"D"&amp;"|"&amp;7,'Asta Live'!$J$4:$J$403,0)),"")</f>
        <v/>
      </c>
      <c r="B16" s="13">
        <f>IFERROR(INDEX('Asta Live'!$D$4:$D$403,MATCH(Impostazioni!$B$4&amp;"|"&amp;"D"&amp;"|"&amp;7,'Asta Live'!$J$4:$J$403,0)),"")</f>
        <v/>
      </c>
      <c r="C16" s="12">
        <f>IFERROR(INDEX('Asta Live'!$G$4:$G$403,MATCH(Impostazioni!$B$4&amp;"|"&amp;"D"&amp;"|"&amp;7,'Asta Live'!$J$4:$J$403,0)),"")</f>
        <v/>
      </c>
      <c r="E16" s="12">
        <f>IFERROR(INDEX('Asta Live'!$A$4:$A$403,MATCH(Impostazioni!$B$5&amp;"|"&amp;"D"&amp;"|"&amp;7,'Asta Live'!$J$4:$J$403,0)),"")</f>
        <v/>
      </c>
      <c r="F16" s="13">
        <f>IFERROR(INDEX('Asta Live'!$D$4:$D$403,MATCH(Impostazioni!$B$5&amp;"|"&amp;"D"&amp;"|"&amp;7,'Asta Live'!$J$4:$J$403,0)),"")</f>
        <v/>
      </c>
      <c r="G16" s="12">
        <f>IFERROR(INDEX('Asta Live'!$G$4:$G$403,MATCH(Impostazioni!$B$5&amp;"|"&amp;"D"&amp;"|"&amp;7,'Asta Live'!$J$4:$J$403,0)),"")</f>
        <v/>
      </c>
      <c r="I16" s="12">
        <f>IFERROR(INDEX('Asta Live'!$A$4:$A$403,MATCH(Impostazioni!$B$6&amp;"|"&amp;"D"&amp;"|"&amp;7,'Asta Live'!$J$4:$J$403,0)),"")</f>
        <v/>
      </c>
      <c r="J16" s="13">
        <f>IFERROR(INDEX('Asta Live'!$D$4:$D$403,MATCH(Impostazioni!$B$6&amp;"|"&amp;"D"&amp;"|"&amp;7,'Asta Live'!$J$4:$J$403,0)),"")</f>
        <v/>
      </c>
      <c r="K16" s="12">
        <f>IFERROR(INDEX('Asta Live'!$G$4:$G$403,MATCH(Impostazioni!$B$6&amp;"|"&amp;"D"&amp;"|"&amp;7,'Asta Live'!$J$4:$J$403,0)),"")</f>
        <v/>
      </c>
      <c r="M16" s="12">
        <f>IFERROR(INDEX('Asta Live'!$A$4:$A$403,MATCH(Impostazioni!$B$7&amp;"|"&amp;"D"&amp;"|"&amp;7,'Asta Live'!$J$4:$J$403,0)),"")</f>
        <v/>
      </c>
      <c r="N16" s="13">
        <f>IFERROR(INDEX('Asta Live'!$D$4:$D$403,MATCH(Impostazioni!$B$7&amp;"|"&amp;"D"&amp;"|"&amp;7,'Asta Live'!$J$4:$J$403,0)),"")</f>
        <v/>
      </c>
      <c r="O16" s="12">
        <f>IFERROR(INDEX('Asta Live'!$G$4:$G$403,MATCH(Impostazioni!$B$7&amp;"|"&amp;"D"&amp;"|"&amp;7,'Asta Live'!$J$4:$J$403,0)),"")</f>
        <v/>
      </c>
    </row>
    <row r="17">
      <c r="A17" s="12">
        <f>IFERROR(INDEX('Asta Live'!$A$4:$A$403,MATCH(Impostazioni!$B$4&amp;"|"&amp;"D"&amp;"|"&amp;8,'Asta Live'!$J$4:$J$403,0)),"")</f>
        <v/>
      </c>
      <c r="B17" s="13">
        <f>IFERROR(INDEX('Asta Live'!$D$4:$D$403,MATCH(Impostazioni!$B$4&amp;"|"&amp;"D"&amp;"|"&amp;8,'Asta Live'!$J$4:$J$403,0)),"")</f>
        <v/>
      </c>
      <c r="C17" s="12">
        <f>IFERROR(INDEX('Asta Live'!$G$4:$G$403,MATCH(Impostazioni!$B$4&amp;"|"&amp;"D"&amp;"|"&amp;8,'Asta Live'!$J$4:$J$403,0)),"")</f>
        <v/>
      </c>
      <c r="E17" s="12">
        <f>IFERROR(INDEX('Asta Live'!$A$4:$A$403,MATCH(Impostazioni!$B$5&amp;"|"&amp;"D"&amp;"|"&amp;8,'Asta Live'!$J$4:$J$403,0)),"")</f>
        <v/>
      </c>
      <c r="F17" s="13">
        <f>IFERROR(INDEX('Asta Live'!$D$4:$D$403,MATCH(Impostazioni!$B$5&amp;"|"&amp;"D"&amp;"|"&amp;8,'Asta Live'!$J$4:$J$403,0)),"")</f>
        <v/>
      </c>
      <c r="G17" s="12">
        <f>IFERROR(INDEX('Asta Live'!$G$4:$G$403,MATCH(Impostazioni!$B$5&amp;"|"&amp;"D"&amp;"|"&amp;8,'Asta Live'!$J$4:$J$403,0)),"")</f>
        <v/>
      </c>
      <c r="I17" s="12">
        <f>IFERROR(INDEX('Asta Live'!$A$4:$A$403,MATCH(Impostazioni!$B$6&amp;"|"&amp;"D"&amp;"|"&amp;8,'Asta Live'!$J$4:$J$403,0)),"")</f>
        <v/>
      </c>
      <c r="J17" s="13">
        <f>IFERROR(INDEX('Asta Live'!$D$4:$D$403,MATCH(Impostazioni!$B$6&amp;"|"&amp;"D"&amp;"|"&amp;8,'Asta Live'!$J$4:$J$403,0)),"")</f>
        <v/>
      </c>
      <c r="K17" s="12">
        <f>IFERROR(INDEX('Asta Live'!$G$4:$G$403,MATCH(Impostazioni!$B$6&amp;"|"&amp;"D"&amp;"|"&amp;8,'Asta Live'!$J$4:$J$403,0)),"")</f>
        <v/>
      </c>
      <c r="M17" s="12">
        <f>IFERROR(INDEX('Asta Live'!$A$4:$A$403,MATCH(Impostazioni!$B$7&amp;"|"&amp;"D"&amp;"|"&amp;8,'Asta Live'!$J$4:$J$403,0)),"")</f>
        <v/>
      </c>
      <c r="N17" s="13">
        <f>IFERROR(INDEX('Asta Live'!$D$4:$D$403,MATCH(Impostazioni!$B$7&amp;"|"&amp;"D"&amp;"|"&amp;8,'Asta Live'!$J$4:$J$403,0)),"")</f>
        <v/>
      </c>
      <c r="O17" s="12">
        <f>IFERROR(INDEX('Asta Live'!$G$4:$G$403,MATCH(Impostazioni!$B$7&amp;"|"&amp;"D"&amp;"|"&amp;8,'Asta Live'!$J$4:$J$403,0)),"")</f>
        <v/>
      </c>
    </row>
    <row r="18">
      <c r="A18" s="12">
        <f>IFERROR(INDEX('Asta Live'!$A$4:$A$403,MATCH(Impostazioni!$B$4&amp;"|"&amp;"D"&amp;"|"&amp;9,'Asta Live'!$J$4:$J$403,0)),"")</f>
        <v/>
      </c>
      <c r="B18" s="13">
        <f>IFERROR(INDEX('Asta Live'!$D$4:$D$403,MATCH(Impostazioni!$B$4&amp;"|"&amp;"D"&amp;"|"&amp;9,'Asta Live'!$J$4:$J$403,0)),"")</f>
        <v/>
      </c>
      <c r="C18" s="12">
        <f>IFERROR(INDEX('Asta Live'!$G$4:$G$403,MATCH(Impostazioni!$B$4&amp;"|"&amp;"D"&amp;"|"&amp;9,'Asta Live'!$J$4:$J$403,0)),"")</f>
        <v/>
      </c>
      <c r="E18" s="12">
        <f>IFERROR(INDEX('Asta Live'!$A$4:$A$403,MATCH(Impostazioni!$B$5&amp;"|"&amp;"D"&amp;"|"&amp;9,'Asta Live'!$J$4:$J$403,0)),"")</f>
        <v/>
      </c>
      <c r="F18" s="13">
        <f>IFERROR(INDEX('Asta Live'!$D$4:$D$403,MATCH(Impostazioni!$B$5&amp;"|"&amp;"D"&amp;"|"&amp;9,'Asta Live'!$J$4:$J$403,0)),"")</f>
        <v/>
      </c>
      <c r="G18" s="12">
        <f>IFERROR(INDEX('Asta Live'!$G$4:$G$403,MATCH(Impostazioni!$B$5&amp;"|"&amp;"D"&amp;"|"&amp;9,'Asta Live'!$J$4:$J$403,0)),"")</f>
        <v/>
      </c>
      <c r="I18" s="12">
        <f>IFERROR(INDEX('Asta Live'!$A$4:$A$403,MATCH(Impostazioni!$B$6&amp;"|"&amp;"D"&amp;"|"&amp;9,'Asta Live'!$J$4:$J$403,0)),"")</f>
        <v/>
      </c>
      <c r="J18" s="13">
        <f>IFERROR(INDEX('Asta Live'!$D$4:$D$403,MATCH(Impostazioni!$B$6&amp;"|"&amp;"D"&amp;"|"&amp;9,'Asta Live'!$J$4:$J$403,0)),"")</f>
        <v/>
      </c>
      <c r="K18" s="12">
        <f>IFERROR(INDEX('Asta Live'!$G$4:$G$403,MATCH(Impostazioni!$B$6&amp;"|"&amp;"D"&amp;"|"&amp;9,'Asta Live'!$J$4:$J$403,0)),"")</f>
        <v/>
      </c>
      <c r="M18" s="12">
        <f>IFERROR(INDEX('Asta Live'!$A$4:$A$403,MATCH(Impostazioni!$B$7&amp;"|"&amp;"D"&amp;"|"&amp;9,'Asta Live'!$J$4:$J$403,0)),"")</f>
        <v/>
      </c>
      <c r="N18" s="13">
        <f>IFERROR(INDEX('Asta Live'!$D$4:$D$403,MATCH(Impostazioni!$B$7&amp;"|"&amp;"D"&amp;"|"&amp;9,'Asta Live'!$J$4:$J$403,0)),"")</f>
        <v/>
      </c>
      <c r="O18" s="12">
        <f>IFERROR(INDEX('Asta Live'!$G$4:$G$403,MATCH(Impostazioni!$B$7&amp;"|"&amp;"D"&amp;"|"&amp;9,'Asta Live'!$J$4:$J$403,0)),"")</f>
        <v/>
      </c>
    </row>
    <row r="19">
      <c r="A19" s="12">
        <f>IFERROR(INDEX('Asta Live'!$A$4:$A$403,MATCH(Impostazioni!$B$4&amp;"|"&amp;"D"&amp;"|"&amp;10,'Asta Live'!$J$4:$J$403,0)),"")</f>
        <v/>
      </c>
      <c r="B19" s="13">
        <f>IFERROR(INDEX('Asta Live'!$D$4:$D$403,MATCH(Impostazioni!$B$4&amp;"|"&amp;"D"&amp;"|"&amp;10,'Asta Live'!$J$4:$J$403,0)),"")</f>
        <v/>
      </c>
      <c r="C19" s="12">
        <f>IFERROR(INDEX('Asta Live'!$G$4:$G$403,MATCH(Impostazioni!$B$4&amp;"|"&amp;"D"&amp;"|"&amp;10,'Asta Live'!$J$4:$J$403,0)),"")</f>
        <v/>
      </c>
      <c r="E19" s="12">
        <f>IFERROR(INDEX('Asta Live'!$A$4:$A$403,MATCH(Impostazioni!$B$5&amp;"|"&amp;"D"&amp;"|"&amp;10,'Asta Live'!$J$4:$J$403,0)),"")</f>
        <v/>
      </c>
      <c r="F19" s="13">
        <f>IFERROR(INDEX('Asta Live'!$D$4:$D$403,MATCH(Impostazioni!$B$5&amp;"|"&amp;"D"&amp;"|"&amp;10,'Asta Live'!$J$4:$J$403,0)),"")</f>
        <v/>
      </c>
      <c r="G19" s="12">
        <f>IFERROR(INDEX('Asta Live'!$G$4:$G$403,MATCH(Impostazioni!$B$5&amp;"|"&amp;"D"&amp;"|"&amp;10,'Asta Live'!$J$4:$J$403,0)),"")</f>
        <v/>
      </c>
      <c r="I19" s="12">
        <f>IFERROR(INDEX('Asta Live'!$A$4:$A$403,MATCH(Impostazioni!$B$6&amp;"|"&amp;"D"&amp;"|"&amp;10,'Asta Live'!$J$4:$J$403,0)),"")</f>
        <v/>
      </c>
      <c r="J19" s="13">
        <f>IFERROR(INDEX('Asta Live'!$D$4:$D$403,MATCH(Impostazioni!$B$6&amp;"|"&amp;"D"&amp;"|"&amp;10,'Asta Live'!$J$4:$J$403,0)),"")</f>
        <v/>
      </c>
      <c r="K19" s="12">
        <f>IFERROR(INDEX('Asta Live'!$G$4:$G$403,MATCH(Impostazioni!$B$6&amp;"|"&amp;"D"&amp;"|"&amp;10,'Asta Live'!$J$4:$J$403,0)),"")</f>
        <v/>
      </c>
      <c r="M19" s="12">
        <f>IFERROR(INDEX('Asta Live'!$A$4:$A$403,MATCH(Impostazioni!$B$7&amp;"|"&amp;"D"&amp;"|"&amp;10,'Asta Live'!$J$4:$J$403,0)),"")</f>
        <v/>
      </c>
      <c r="N19" s="13">
        <f>IFERROR(INDEX('Asta Live'!$D$4:$D$403,MATCH(Impostazioni!$B$7&amp;"|"&amp;"D"&amp;"|"&amp;10,'Asta Live'!$J$4:$J$403,0)),"")</f>
        <v/>
      </c>
      <c r="O19" s="12">
        <f>IFERROR(INDEX('Asta Live'!$G$4:$G$403,MATCH(Impostazioni!$B$7&amp;"|"&amp;"D"&amp;"|"&amp;10,'Asta Live'!$J$4:$J$403,0)),"")</f>
        <v/>
      </c>
    </row>
    <row r="20">
      <c r="A20" s="12">
        <f>IFERROR(INDEX('Asta Live'!$A$4:$A$403,MATCH(Impostazioni!$B$4&amp;"|"&amp;"D"&amp;"|"&amp;11,'Asta Live'!$J$4:$J$403,0)),"")</f>
        <v/>
      </c>
      <c r="B20" s="13">
        <f>IFERROR(INDEX('Asta Live'!$D$4:$D$403,MATCH(Impostazioni!$B$4&amp;"|"&amp;"D"&amp;"|"&amp;11,'Asta Live'!$J$4:$J$403,0)),"")</f>
        <v/>
      </c>
      <c r="C20" s="12">
        <f>IFERROR(INDEX('Asta Live'!$G$4:$G$403,MATCH(Impostazioni!$B$4&amp;"|"&amp;"D"&amp;"|"&amp;11,'Asta Live'!$J$4:$J$403,0)),"")</f>
        <v/>
      </c>
      <c r="E20" s="12">
        <f>IFERROR(INDEX('Asta Live'!$A$4:$A$403,MATCH(Impostazioni!$B$5&amp;"|"&amp;"D"&amp;"|"&amp;11,'Asta Live'!$J$4:$J$403,0)),"")</f>
        <v/>
      </c>
      <c r="F20" s="13">
        <f>IFERROR(INDEX('Asta Live'!$D$4:$D$403,MATCH(Impostazioni!$B$5&amp;"|"&amp;"D"&amp;"|"&amp;11,'Asta Live'!$J$4:$J$403,0)),"")</f>
        <v/>
      </c>
      <c r="G20" s="12">
        <f>IFERROR(INDEX('Asta Live'!$G$4:$G$403,MATCH(Impostazioni!$B$5&amp;"|"&amp;"D"&amp;"|"&amp;11,'Asta Live'!$J$4:$J$403,0)),"")</f>
        <v/>
      </c>
      <c r="I20" s="12">
        <f>IFERROR(INDEX('Asta Live'!$A$4:$A$403,MATCH(Impostazioni!$B$6&amp;"|"&amp;"D"&amp;"|"&amp;11,'Asta Live'!$J$4:$J$403,0)),"")</f>
        <v/>
      </c>
      <c r="J20" s="13">
        <f>IFERROR(INDEX('Asta Live'!$D$4:$D$403,MATCH(Impostazioni!$B$6&amp;"|"&amp;"D"&amp;"|"&amp;11,'Asta Live'!$J$4:$J$403,0)),"")</f>
        <v/>
      </c>
      <c r="K20" s="12">
        <f>IFERROR(INDEX('Asta Live'!$G$4:$G$403,MATCH(Impostazioni!$B$6&amp;"|"&amp;"D"&amp;"|"&amp;11,'Asta Live'!$J$4:$J$403,0)),"")</f>
        <v/>
      </c>
      <c r="M20" s="12">
        <f>IFERROR(INDEX('Asta Live'!$A$4:$A$403,MATCH(Impostazioni!$B$7&amp;"|"&amp;"D"&amp;"|"&amp;11,'Asta Live'!$J$4:$J$403,0)),"")</f>
        <v/>
      </c>
      <c r="N20" s="13">
        <f>IFERROR(INDEX('Asta Live'!$D$4:$D$403,MATCH(Impostazioni!$B$7&amp;"|"&amp;"D"&amp;"|"&amp;11,'Asta Live'!$J$4:$J$403,0)),"")</f>
        <v/>
      </c>
      <c r="O20" s="12">
        <f>IFERROR(INDEX('Asta Live'!$G$4:$G$403,MATCH(Impostazioni!$B$7&amp;"|"&amp;"D"&amp;"|"&amp;11,'Asta Live'!$J$4:$J$403,0)),"")</f>
        <v/>
      </c>
    </row>
    <row r="21">
      <c r="A21" s="14" t="inlineStr">
        <is>
          <t>Totale Difensori</t>
        </is>
      </c>
      <c r="B21" s="15" t="n"/>
      <c r="C21" s="14">
        <f>SUM(C10:C20)</f>
        <v/>
      </c>
      <c r="E21" s="14" t="inlineStr">
        <is>
          <t>Totale Difensori</t>
        </is>
      </c>
      <c r="F21" s="15" t="n"/>
      <c r="G21" s="14">
        <f>SUM(G10:G20)</f>
        <v/>
      </c>
      <c r="I21" s="14" t="inlineStr">
        <is>
          <t>Totale Difensori</t>
        </is>
      </c>
      <c r="J21" s="15" t="n"/>
      <c r="K21" s="14">
        <f>SUM(K10:K20)</f>
        <v/>
      </c>
      <c r="M21" s="14" t="inlineStr">
        <is>
          <t>Totale Difensori</t>
        </is>
      </c>
      <c r="N21" s="15" t="n"/>
      <c r="O21" s="14">
        <f>SUM(O10:O20)</f>
        <v/>
      </c>
    </row>
    <row r="22">
      <c r="A22" s="17" t="inlineStr">
        <is>
          <t>CENTROCAMPISTI</t>
        </is>
      </c>
      <c r="E22" s="17" t="inlineStr">
        <is>
          <t>CENTROCAMPISTI</t>
        </is>
      </c>
      <c r="I22" s="17" t="inlineStr">
        <is>
          <t>CENTROCAMPISTI</t>
        </is>
      </c>
      <c r="M22" s="17" t="inlineStr">
        <is>
          <t>CENTROCAMPISTI</t>
        </is>
      </c>
    </row>
    <row r="23">
      <c r="A23" s="12">
        <f>IFERROR(INDEX('Asta Live'!$A$4:$A$403,MATCH(Impostazioni!$B$4&amp;"|"&amp;"C"&amp;"|"&amp;1,'Asta Live'!$J$4:$J$403,0)),"")</f>
        <v/>
      </c>
      <c r="B23" s="13">
        <f>IFERROR(INDEX('Asta Live'!$D$4:$D$403,MATCH(Impostazioni!$B$4&amp;"|"&amp;"C"&amp;"|"&amp;1,'Asta Live'!$J$4:$J$403,0)),"")</f>
        <v/>
      </c>
      <c r="C23" s="12">
        <f>IFERROR(INDEX('Asta Live'!$G$4:$G$403,MATCH(Impostazioni!$B$4&amp;"|"&amp;"C"&amp;"|"&amp;1,'Asta Live'!$J$4:$J$403,0)),"")</f>
        <v/>
      </c>
      <c r="E23" s="12">
        <f>IFERROR(INDEX('Asta Live'!$A$4:$A$403,MATCH(Impostazioni!$B$5&amp;"|"&amp;"C"&amp;"|"&amp;1,'Asta Live'!$J$4:$J$403,0)),"")</f>
        <v/>
      </c>
      <c r="F23" s="13">
        <f>IFERROR(INDEX('Asta Live'!$D$4:$D$403,MATCH(Impostazioni!$B$5&amp;"|"&amp;"C"&amp;"|"&amp;1,'Asta Live'!$J$4:$J$403,0)),"")</f>
        <v/>
      </c>
      <c r="G23" s="12">
        <f>IFERROR(INDEX('Asta Live'!$G$4:$G$403,MATCH(Impostazioni!$B$5&amp;"|"&amp;"C"&amp;"|"&amp;1,'Asta Live'!$J$4:$J$403,0)),"")</f>
        <v/>
      </c>
      <c r="I23" s="12">
        <f>IFERROR(INDEX('Asta Live'!$A$4:$A$403,MATCH(Impostazioni!$B$6&amp;"|"&amp;"C"&amp;"|"&amp;1,'Asta Live'!$J$4:$J$403,0)),"")</f>
        <v/>
      </c>
      <c r="J23" s="13">
        <f>IFERROR(INDEX('Asta Live'!$D$4:$D$403,MATCH(Impostazioni!$B$6&amp;"|"&amp;"C"&amp;"|"&amp;1,'Asta Live'!$J$4:$J$403,0)),"")</f>
        <v/>
      </c>
      <c r="K23" s="12">
        <f>IFERROR(INDEX('Asta Live'!$G$4:$G$403,MATCH(Impostazioni!$B$6&amp;"|"&amp;"C"&amp;"|"&amp;1,'Asta Live'!$J$4:$J$403,0)),"")</f>
        <v/>
      </c>
      <c r="M23" s="12">
        <f>IFERROR(INDEX('Asta Live'!$A$4:$A$403,MATCH(Impostazioni!$B$7&amp;"|"&amp;"C"&amp;"|"&amp;1,'Asta Live'!$J$4:$J$403,0)),"")</f>
        <v/>
      </c>
      <c r="N23" s="13">
        <f>IFERROR(INDEX('Asta Live'!$D$4:$D$403,MATCH(Impostazioni!$B$7&amp;"|"&amp;"C"&amp;"|"&amp;1,'Asta Live'!$J$4:$J$403,0)),"")</f>
        <v/>
      </c>
      <c r="O23" s="12">
        <f>IFERROR(INDEX('Asta Live'!$G$4:$G$403,MATCH(Impostazioni!$B$7&amp;"|"&amp;"C"&amp;"|"&amp;1,'Asta Live'!$J$4:$J$403,0)),"")</f>
        <v/>
      </c>
    </row>
    <row r="24">
      <c r="A24" s="12">
        <f>IFERROR(INDEX('Asta Live'!$A$4:$A$403,MATCH(Impostazioni!$B$4&amp;"|"&amp;"C"&amp;"|"&amp;2,'Asta Live'!$J$4:$J$403,0)),"")</f>
        <v/>
      </c>
      <c r="B24" s="13">
        <f>IFERROR(INDEX('Asta Live'!$D$4:$D$403,MATCH(Impostazioni!$B$4&amp;"|"&amp;"C"&amp;"|"&amp;2,'Asta Live'!$J$4:$J$403,0)),"")</f>
        <v/>
      </c>
      <c r="C24" s="12">
        <f>IFERROR(INDEX('Asta Live'!$G$4:$G$403,MATCH(Impostazioni!$B$4&amp;"|"&amp;"C"&amp;"|"&amp;2,'Asta Live'!$J$4:$J$403,0)),"")</f>
        <v/>
      </c>
      <c r="E24" s="12">
        <f>IFERROR(INDEX('Asta Live'!$A$4:$A$403,MATCH(Impostazioni!$B$5&amp;"|"&amp;"C"&amp;"|"&amp;2,'Asta Live'!$J$4:$J$403,0)),"")</f>
        <v/>
      </c>
      <c r="F24" s="13">
        <f>IFERROR(INDEX('Asta Live'!$D$4:$D$403,MATCH(Impostazioni!$B$5&amp;"|"&amp;"C"&amp;"|"&amp;2,'Asta Live'!$J$4:$J$403,0)),"")</f>
        <v/>
      </c>
      <c r="G24" s="12">
        <f>IFERROR(INDEX('Asta Live'!$G$4:$G$403,MATCH(Impostazioni!$B$5&amp;"|"&amp;"C"&amp;"|"&amp;2,'Asta Live'!$J$4:$J$403,0)),"")</f>
        <v/>
      </c>
      <c r="I24" s="12">
        <f>IFERROR(INDEX('Asta Live'!$A$4:$A$403,MATCH(Impostazioni!$B$6&amp;"|"&amp;"C"&amp;"|"&amp;2,'Asta Live'!$J$4:$J$403,0)),"")</f>
        <v/>
      </c>
      <c r="J24" s="13">
        <f>IFERROR(INDEX('Asta Live'!$D$4:$D$403,MATCH(Impostazioni!$B$6&amp;"|"&amp;"C"&amp;"|"&amp;2,'Asta Live'!$J$4:$J$403,0)),"")</f>
        <v/>
      </c>
      <c r="K24" s="12">
        <f>IFERROR(INDEX('Asta Live'!$G$4:$G$403,MATCH(Impostazioni!$B$6&amp;"|"&amp;"C"&amp;"|"&amp;2,'Asta Live'!$J$4:$J$403,0)),"")</f>
        <v/>
      </c>
      <c r="M24" s="12">
        <f>IFERROR(INDEX('Asta Live'!$A$4:$A$403,MATCH(Impostazioni!$B$7&amp;"|"&amp;"C"&amp;"|"&amp;2,'Asta Live'!$J$4:$J$403,0)),"")</f>
        <v/>
      </c>
      <c r="N24" s="13">
        <f>IFERROR(INDEX('Asta Live'!$D$4:$D$403,MATCH(Impostazioni!$B$7&amp;"|"&amp;"C"&amp;"|"&amp;2,'Asta Live'!$J$4:$J$403,0)),"")</f>
        <v/>
      </c>
      <c r="O24" s="12">
        <f>IFERROR(INDEX('Asta Live'!$G$4:$G$403,MATCH(Impostazioni!$B$7&amp;"|"&amp;"C"&amp;"|"&amp;2,'Asta Live'!$J$4:$J$403,0)),"")</f>
        <v/>
      </c>
    </row>
    <row r="25">
      <c r="A25" s="12">
        <f>IFERROR(INDEX('Asta Live'!$A$4:$A$403,MATCH(Impostazioni!$B$4&amp;"|"&amp;"C"&amp;"|"&amp;3,'Asta Live'!$J$4:$J$403,0)),"")</f>
        <v/>
      </c>
      <c r="B25" s="13">
        <f>IFERROR(INDEX('Asta Live'!$D$4:$D$403,MATCH(Impostazioni!$B$4&amp;"|"&amp;"C"&amp;"|"&amp;3,'Asta Live'!$J$4:$J$403,0)),"")</f>
        <v/>
      </c>
      <c r="C25" s="12">
        <f>IFERROR(INDEX('Asta Live'!$G$4:$G$403,MATCH(Impostazioni!$B$4&amp;"|"&amp;"C"&amp;"|"&amp;3,'Asta Live'!$J$4:$J$403,0)),"")</f>
        <v/>
      </c>
      <c r="E25" s="12">
        <f>IFERROR(INDEX('Asta Live'!$A$4:$A$403,MATCH(Impostazioni!$B$5&amp;"|"&amp;"C"&amp;"|"&amp;3,'Asta Live'!$J$4:$J$403,0)),"")</f>
        <v/>
      </c>
      <c r="F25" s="13">
        <f>IFERROR(INDEX('Asta Live'!$D$4:$D$403,MATCH(Impostazioni!$B$5&amp;"|"&amp;"C"&amp;"|"&amp;3,'Asta Live'!$J$4:$J$403,0)),"")</f>
        <v/>
      </c>
      <c r="G25" s="12">
        <f>IFERROR(INDEX('Asta Live'!$G$4:$G$403,MATCH(Impostazioni!$B$5&amp;"|"&amp;"C"&amp;"|"&amp;3,'Asta Live'!$J$4:$J$403,0)),"")</f>
        <v/>
      </c>
      <c r="I25" s="12">
        <f>IFERROR(INDEX('Asta Live'!$A$4:$A$403,MATCH(Impostazioni!$B$6&amp;"|"&amp;"C"&amp;"|"&amp;3,'Asta Live'!$J$4:$J$403,0)),"")</f>
        <v/>
      </c>
      <c r="J25" s="13">
        <f>IFERROR(INDEX('Asta Live'!$D$4:$D$403,MATCH(Impostazioni!$B$6&amp;"|"&amp;"C"&amp;"|"&amp;3,'Asta Live'!$J$4:$J$403,0)),"")</f>
        <v/>
      </c>
      <c r="K25" s="12">
        <f>IFERROR(INDEX('Asta Live'!$G$4:$G$403,MATCH(Impostazioni!$B$6&amp;"|"&amp;"C"&amp;"|"&amp;3,'Asta Live'!$J$4:$J$403,0)),"")</f>
        <v/>
      </c>
      <c r="M25" s="12">
        <f>IFERROR(INDEX('Asta Live'!$A$4:$A$403,MATCH(Impostazioni!$B$7&amp;"|"&amp;"C"&amp;"|"&amp;3,'Asta Live'!$J$4:$J$403,0)),"")</f>
        <v/>
      </c>
      <c r="N25" s="13">
        <f>IFERROR(INDEX('Asta Live'!$D$4:$D$403,MATCH(Impostazioni!$B$7&amp;"|"&amp;"C"&amp;"|"&amp;3,'Asta Live'!$J$4:$J$403,0)),"")</f>
        <v/>
      </c>
      <c r="O25" s="12">
        <f>IFERROR(INDEX('Asta Live'!$G$4:$G$403,MATCH(Impostazioni!$B$7&amp;"|"&amp;"C"&amp;"|"&amp;3,'Asta Live'!$J$4:$J$403,0)),"")</f>
        <v/>
      </c>
    </row>
    <row r="26">
      <c r="A26" s="12">
        <f>IFERROR(INDEX('Asta Live'!$A$4:$A$403,MATCH(Impostazioni!$B$4&amp;"|"&amp;"C"&amp;"|"&amp;4,'Asta Live'!$J$4:$J$403,0)),"")</f>
        <v/>
      </c>
      <c r="B26" s="13">
        <f>IFERROR(INDEX('Asta Live'!$D$4:$D$403,MATCH(Impostazioni!$B$4&amp;"|"&amp;"C"&amp;"|"&amp;4,'Asta Live'!$J$4:$J$403,0)),"")</f>
        <v/>
      </c>
      <c r="C26" s="12">
        <f>IFERROR(INDEX('Asta Live'!$G$4:$G$403,MATCH(Impostazioni!$B$4&amp;"|"&amp;"C"&amp;"|"&amp;4,'Asta Live'!$J$4:$J$403,0)),"")</f>
        <v/>
      </c>
      <c r="E26" s="12">
        <f>IFERROR(INDEX('Asta Live'!$A$4:$A$403,MATCH(Impostazioni!$B$5&amp;"|"&amp;"C"&amp;"|"&amp;4,'Asta Live'!$J$4:$J$403,0)),"")</f>
        <v/>
      </c>
      <c r="F26" s="13">
        <f>IFERROR(INDEX('Asta Live'!$D$4:$D$403,MATCH(Impostazioni!$B$5&amp;"|"&amp;"C"&amp;"|"&amp;4,'Asta Live'!$J$4:$J$403,0)),"")</f>
        <v/>
      </c>
      <c r="G26" s="12">
        <f>IFERROR(INDEX('Asta Live'!$G$4:$G$403,MATCH(Impostazioni!$B$5&amp;"|"&amp;"C"&amp;"|"&amp;4,'Asta Live'!$J$4:$J$403,0)),"")</f>
        <v/>
      </c>
      <c r="I26" s="12">
        <f>IFERROR(INDEX('Asta Live'!$A$4:$A$403,MATCH(Impostazioni!$B$6&amp;"|"&amp;"C"&amp;"|"&amp;4,'Asta Live'!$J$4:$J$403,0)),"")</f>
        <v/>
      </c>
      <c r="J26" s="13">
        <f>IFERROR(INDEX('Asta Live'!$D$4:$D$403,MATCH(Impostazioni!$B$6&amp;"|"&amp;"C"&amp;"|"&amp;4,'Asta Live'!$J$4:$J$403,0)),"")</f>
        <v/>
      </c>
      <c r="K26" s="12">
        <f>IFERROR(INDEX('Asta Live'!$G$4:$G$403,MATCH(Impostazioni!$B$6&amp;"|"&amp;"C"&amp;"|"&amp;4,'Asta Live'!$J$4:$J$403,0)),"")</f>
        <v/>
      </c>
      <c r="M26" s="12">
        <f>IFERROR(INDEX('Asta Live'!$A$4:$A$403,MATCH(Impostazioni!$B$7&amp;"|"&amp;"C"&amp;"|"&amp;4,'Asta Live'!$J$4:$J$403,0)),"")</f>
        <v/>
      </c>
      <c r="N26" s="13">
        <f>IFERROR(INDEX('Asta Live'!$D$4:$D$403,MATCH(Impostazioni!$B$7&amp;"|"&amp;"C"&amp;"|"&amp;4,'Asta Live'!$J$4:$J$403,0)),"")</f>
        <v/>
      </c>
      <c r="O26" s="12">
        <f>IFERROR(INDEX('Asta Live'!$G$4:$G$403,MATCH(Impostazioni!$B$7&amp;"|"&amp;"C"&amp;"|"&amp;4,'Asta Live'!$J$4:$J$403,0)),"")</f>
        <v/>
      </c>
    </row>
    <row r="27">
      <c r="A27" s="12">
        <f>IFERROR(INDEX('Asta Live'!$A$4:$A$403,MATCH(Impostazioni!$B$4&amp;"|"&amp;"C"&amp;"|"&amp;5,'Asta Live'!$J$4:$J$403,0)),"")</f>
        <v/>
      </c>
      <c r="B27" s="13">
        <f>IFERROR(INDEX('Asta Live'!$D$4:$D$403,MATCH(Impostazioni!$B$4&amp;"|"&amp;"C"&amp;"|"&amp;5,'Asta Live'!$J$4:$J$403,0)),"")</f>
        <v/>
      </c>
      <c r="C27" s="12">
        <f>IFERROR(INDEX('Asta Live'!$G$4:$G$403,MATCH(Impostazioni!$B$4&amp;"|"&amp;"C"&amp;"|"&amp;5,'Asta Live'!$J$4:$J$403,0)),"")</f>
        <v/>
      </c>
      <c r="E27" s="12">
        <f>IFERROR(INDEX('Asta Live'!$A$4:$A$403,MATCH(Impostazioni!$B$5&amp;"|"&amp;"C"&amp;"|"&amp;5,'Asta Live'!$J$4:$J$403,0)),"")</f>
        <v/>
      </c>
      <c r="F27" s="13">
        <f>IFERROR(INDEX('Asta Live'!$D$4:$D$403,MATCH(Impostazioni!$B$5&amp;"|"&amp;"C"&amp;"|"&amp;5,'Asta Live'!$J$4:$J$403,0)),"")</f>
        <v/>
      </c>
      <c r="G27" s="12">
        <f>IFERROR(INDEX('Asta Live'!$G$4:$G$403,MATCH(Impostazioni!$B$5&amp;"|"&amp;"C"&amp;"|"&amp;5,'Asta Live'!$J$4:$J$403,0)),"")</f>
        <v/>
      </c>
      <c r="I27" s="12">
        <f>IFERROR(INDEX('Asta Live'!$A$4:$A$403,MATCH(Impostazioni!$B$6&amp;"|"&amp;"C"&amp;"|"&amp;5,'Asta Live'!$J$4:$J$403,0)),"")</f>
        <v/>
      </c>
      <c r="J27" s="13">
        <f>IFERROR(INDEX('Asta Live'!$D$4:$D$403,MATCH(Impostazioni!$B$6&amp;"|"&amp;"C"&amp;"|"&amp;5,'Asta Live'!$J$4:$J$403,0)),"")</f>
        <v/>
      </c>
      <c r="K27" s="12">
        <f>IFERROR(INDEX('Asta Live'!$G$4:$G$403,MATCH(Impostazioni!$B$6&amp;"|"&amp;"C"&amp;"|"&amp;5,'Asta Live'!$J$4:$J$403,0)),"")</f>
        <v/>
      </c>
      <c r="M27" s="12">
        <f>IFERROR(INDEX('Asta Live'!$A$4:$A$403,MATCH(Impostazioni!$B$7&amp;"|"&amp;"C"&amp;"|"&amp;5,'Asta Live'!$J$4:$J$403,0)),"")</f>
        <v/>
      </c>
      <c r="N27" s="13">
        <f>IFERROR(INDEX('Asta Live'!$D$4:$D$403,MATCH(Impostazioni!$B$7&amp;"|"&amp;"C"&amp;"|"&amp;5,'Asta Live'!$J$4:$J$403,0)),"")</f>
        <v/>
      </c>
      <c r="O27" s="12">
        <f>IFERROR(INDEX('Asta Live'!$G$4:$G$403,MATCH(Impostazioni!$B$7&amp;"|"&amp;"C"&amp;"|"&amp;5,'Asta Live'!$J$4:$J$403,0)),"")</f>
        <v/>
      </c>
    </row>
    <row r="28">
      <c r="A28" s="12">
        <f>IFERROR(INDEX('Asta Live'!$A$4:$A$403,MATCH(Impostazioni!$B$4&amp;"|"&amp;"C"&amp;"|"&amp;6,'Asta Live'!$J$4:$J$403,0)),"")</f>
        <v/>
      </c>
      <c r="B28" s="13">
        <f>IFERROR(INDEX('Asta Live'!$D$4:$D$403,MATCH(Impostazioni!$B$4&amp;"|"&amp;"C"&amp;"|"&amp;6,'Asta Live'!$J$4:$J$403,0)),"")</f>
        <v/>
      </c>
      <c r="C28" s="12">
        <f>IFERROR(INDEX('Asta Live'!$G$4:$G$403,MATCH(Impostazioni!$B$4&amp;"|"&amp;"C"&amp;"|"&amp;6,'Asta Live'!$J$4:$J$403,0)),"")</f>
        <v/>
      </c>
      <c r="E28" s="12">
        <f>IFERROR(INDEX('Asta Live'!$A$4:$A$403,MATCH(Impostazioni!$B$5&amp;"|"&amp;"C"&amp;"|"&amp;6,'Asta Live'!$J$4:$J$403,0)),"")</f>
        <v/>
      </c>
      <c r="F28" s="13">
        <f>IFERROR(INDEX('Asta Live'!$D$4:$D$403,MATCH(Impostazioni!$B$5&amp;"|"&amp;"C"&amp;"|"&amp;6,'Asta Live'!$J$4:$J$403,0)),"")</f>
        <v/>
      </c>
      <c r="G28" s="12">
        <f>IFERROR(INDEX('Asta Live'!$G$4:$G$403,MATCH(Impostazioni!$B$5&amp;"|"&amp;"C"&amp;"|"&amp;6,'Asta Live'!$J$4:$J$403,0)),"")</f>
        <v/>
      </c>
      <c r="I28" s="12">
        <f>IFERROR(INDEX('Asta Live'!$A$4:$A$403,MATCH(Impostazioni!$B$6&amp;"|"&amp;"C"&amp;"|"&amp;6,'Asta Live'!$J$4:$J$403,0)),"")</f>
        <v/>
      </c>
      <c r="J28" s="13">
        <f>IFERROR(INDEX('Asta Live'!$D$4:$D$403,MATCH(Impostazioni!$B$6&amp;"|"&amp;"C"&amp;"|"&amp;6,'Asta Live'!$J$4:$J$403,0)),"")</f>
        <v/>
      </c>
      <c r="K28" s="12">
        <f>IFERROR(INDEX('Asta Live'!$G$4:$G$403,MATCH(Impostazioni!$B$6&amp;"|"&amp;"C"&amp;"|"&amp;6,'Asta Live'!$J$4:$J$403,0)),"")</f>
        <v/>
      </c>
      <c r="M28" s="12">
        <f>IFERROR(INDEX('Asta Live'!$A$4:$A$403,MATCH(Impostazioni!$B$7&amp;"|"&amp;"C"&amp;"|"&amp;6,'Asta Live'!$J$4:$J$403,0)),"")</f>
        <v/>
      </c>
      <c r="N28" s="13">
        <f>IFERROR(INDEX('Asta Live'!$D$4:$D$403,MATCH(Impostazioni!$B$7&amp;"|"&amp;"C"&amp;"|"&amp;6,'Asta Live'!$J$4:$J$403,0)),"")</f>
        <v/>
      </c>
      <c r="O28" s="12">
        <f>IFERROR(INDEX('Asta Live'!$G$4:$G$403,MATCH(Impostazioni!$B$7&amp;"|"&amp;"C"&amp;"|"&amp;6,'Asta Live'!$J$4:$J$403,0)),"")</f>
        <v/>
      </c>
    </row>
    <row r="29">
      <c r="A29" s="12">
        <f>IFERROR(INDEX('Asta Live'!$A$4:$A$403,MATCH(Impostazioni!$B$4&amp;"|"&amp;"C"&amp;"|"&amp;7,'Asta Live'!$J$4:$J$403,0)),"")</f>
        <v/>
      </c>
      <c r="B29" s="13">
        <f>IFERROR(INDEX('Asta Live'!$D$4:$D$403,MATCH(Impostazioni!$B$4&amp;"|"&amp;"C"&amp;"|"&amp;7,'Asta Live'!$J$4:$J$403,0)),"")</f>
        <v/>
      </c>
      <c r="C29" s="12">
        <f>IFERROR(INDEX('Asta Live'!$G$4:$G$403,MATCH(Impostazioni!$B$4&amp;"|"&amp;"C"&amp;"|"&amp;7,'Asta Live'!$J$4:$J$403,0)),"")</f>
        <v/>
      </c>
      <c r="E29" s="12">
        <f>IFERROR(INDEX('Asta Live'!$A$4:$A$403,MATCH(Impostazioni!$B$5&amp;"|"&amp;"C"&amp;"|"&amp;7,'Asta Live'!$J$4:$J$403,0)),"")</f>
        <v/>
      </c>
      <c r="F29" s="13">
        <f>IFERROR(INDEX('Asta Live'!$D$4:$D$403,MATCH(Impostazioni!$B$5&amp;"|"&amp;"C"&amp;"|"&amp;7,'Asta Live'!$J$4:$J$403,0)),"")</f>
        <v/>
      </c>
      <c r="G29" s="12">
        <f>IFERROR(INDEX('Asta Live'!$G$4:$G$403,MATCH(Impostazioni!$B$5&amp;"|"&amp;"C"&amp;"|"&amp;7,'Asta Live'!$J$4:$J$403,0)),"")</f>
        <v/>
      </c>
      <c r="I29" s="12">
        <f>IFERROR(INDEX('Asta Live'!$A$4:$A$403,MATCH(Impostazioni!$B$6&amp;"|"&amp;"C"&amp;"|"&amp;7,'Asta Live'!$J$4:$J$403,0)),"")</f>
        <v/>
      </c>
      <c r="J29" s="13">
        <f>IFERROR(INDEX('Asta Live'!$D$4:$D$403,MATCH(Impostazioni!$B$6&amp;"|"&amp;"C"&amp;"|"&amp;7,'Asta Live'!$J$4:$J$403,0)),"")</f>
        <v/>
      </c>
      <c r="K29" s="12">
        <f>IFERROR(INDEX('Asta Live'!$G$4:$G$403,MATCH(Impostazioni!$B$6&amp;"|"&amp;"C"&amp;"|"&amp;7,'Asta Live'!$J$4:$J$403,0)),"")</f>
        <v/>
      </c>
      <c r="M29" s="12">
        <f>IFERROR(INDEX('Asta Live'!$A$4:$A$403,MATCH(Impostazioni!$B$7&amp;"|"&amp;"C"&amp;"|"&amp;7,'Asta Live'!$J$4:$J$403,0)),"")</f>
        <v/>
      </c>
      <c r="N29" s="13">
        <f>IFERROR(INDEX('Asta Live'!$D$4:$D$403,MATCH(Impostazioni!$B$7&amp;"|"&amp;"C"&amp;"|"&amp;7,'Asta Live'!$J$4:$J$403,0)),"")</f>
        <v/>
      </c>
      <c r="O29" s="12">
        <f>IFERROR(INDEX('Asta Live'!$G$4:$G$403,MATCH(Impostazioni!$B$7&amp;"|"&amp;"C"&amp;"|"&amp;7,'Asta Live'!$J$4:$J$403,0)),"")</f>
        <v/>
      </c>
    </row>
    <row r="30">
      <c r="A30" s="12">
        <f>IFERROR(INDEX('Asta Live'!$A$4:$A$403,MATCH(Impostazioni!$B$4&amp;"|"&amp;"C"&amp;"|"&amp;8,'Asta Live'!$J$4:$J$403,0)),"")</f>
        <v/>
      </c>
      <c r="B30" s="13">
        <f>IFERROR(INDEX('Asta Live'!$D$4:$D$403,MATCH(Impostazioni!$B$4&amp;"|"&amp;"C"&amp;"|"&amp;8,'Asta Live'!$J$4:$J$403,0)),"")</f>
        <v/>
      </c>
      <c r="C30" s="12">
        <f>IFERROR(INDEX('Asta Live'!$G$4:$G$403,MATCH(Impostazioni!$B$4&amp;"|"&amp;"C"&amp;"|"&amp;8,'Asta Live'!$J$4:$J$403,0)),"")</f>
        <v/>
      </c>
      <c r="E30" s="12">
        <f>IFERROR(INDEX('Asta Live'!$A$4:$A$403,MATCH(Impostazioni!$B$5&amp;"|"&amp;"C"&amp;"|"&amp;8,'Asta Live'!$J$4:$J$403,0)),"")</f>
        <v/>
      </c>
      <c r="F30" s="13">
        <f>IFERROR(INDEX('Asta Live'!$D$4:$D$403,MATCH(Impostazioni!$B$5&amp;"|"&amp;"C"&amp;"|"&amp;8,'Asta Live'!$J$4:$J$403,0)),"")</f>
        <v/>
      </c>
      <c r="G30" s="12">
        <f>IFERROR(INDEX('Asta Live'!$G$4:$G$403,MATCH(Impostazioni!$B$5&amp;"|"&amp;"C"&amp;"|"&amp;8,'Asta Live'!$J$4:$J$403,0)),"")</f>
        <v/>
      </c>
      <c r="I30" s="12">
        <f>IFERROR(INDEX('Asta Live'!$A$4:$A$403,MATCH(Impostazioni!$B$6&amp;"|"&amp;"C"&amp;"|"&amp;8,'Asta Live'!$J$4:$J$403,0)),"")</f>
        <v/>
      </c>
      <c r="J30" s="13">
        <f>IFERROR(INDEX('Asta Live'!$D$4:$D$403,MATCH(Impostazioni!$B$6&amp;"|"&amp;"C"&amp;"|"&amp;8,'Asta Live'!$J$4:$J$403,0)),"")</f>
        <v/>
      </c>
      <c r="K30" s="12">
        <f>IFERROR(INDEX('Asta Live'!$G$4:$G$403,MATCH(Impostazioni!$B$6&amp;"|"&amp;"C"&amp;"|"&amp;8,'Asta Live'!$J$4:$J$403,0)),"")</f>
        <v/>
      </c>
      <c r="M30" s="12">
        <f>IFERROR(INDEX('Asta Live'!$A$4:$A$403,MATCH(Impostazioni!$B$7&amp;"|"&amp;"C"&amp;"|"&amp;8,'Asta Live'!$J$4:$J$403,0)),"")</f>
        <v/>
      </c>
      <c r="N30" s="13">
        <f>IFERROR(INDEX('Asta Live'!$D$4:$D$403,MATCH(Impostazioni!$B$7&amp;"|"&amp;"C"&amp;"|"&amp;8,'Asta Live'!$J$4:$J$403,0)),"")</f>
        <v/>
      </c>
      <c r="O30" s="12">
        <f>IFERROR(INDEX('Asta Live'!$G$4:$G$403,MATCH(Impostazioni!$B$7&amp;"|"&amp;"C"&amp;"|"&amp;8,'Asta Live'!$J$4:$J$403,0)),"")</f>
        <v/>
      </c>
    </row>
    <row r="31">
      <c r="A31" s="14" t="inlineStr">
        <is>
          <t>Totale Centrocampisti</t>
        </is>
      </c>
      <c r="B31" s="15" t="n"/>
      <c r="C31" s="14">
        <f>SUM(C23:C30)</f>
        <v/>
      </c>
      <c r="E31" s="14" t="inlineStr">
        <is>
          <t>Totale Centrocampisti</t>
        </is>
      </c>
      <c r="F31" s="15" t="n"/>
      <c r="G31" s="14">
        <f>SUM(G23:G30)</f>
        <v/>
      </c>
      <c r="I31" s="14" t="inlineStr">
        <is>
          <t>Totale Centrocampisti</t>
        </is>
      </c>
      <c r="J31" s="15" t="n"/>
      <c r="K31" s="14">
        <f>SUM(K23:K30)</f>
        <v/>
      </c>
      <c r="M31" s="14" t="inlineStr">
        <is>
          <t>Totale Centrocampisti</t>
        </is>
      </c>
      <c r="N31" s="15" t="n"/>
      <c r="O31" s="14">
        <f>SUM(O23:O30)</f>
        <v/>
      </c>
    </row>
    <row r="32">
      <c r="A32" s="18" t="inlineStr">
        <is>
          <t>ATTACCANTI</t>
        </is>
      </c>
      <c r="E32" s="18" t="inlineStr">
        <is>
          <t>ATTACCANTI</t>
        </is>
      </c>
      <c r="I32" s="18" t="inlineStr">
        <is>
          <t>ATTACCANTI</t>
        </is>
      </c>
      <c r="M32" s="18" t="inlineStr">
        <is>
          <t>ATTACCANTI</t>
        </is>
      </c>
    </row>
    <row r="33">
      <c r="A33" s="12">
        <f>IFERROR(INDEX('Asta Live'!$A$4:$A$403,MATCH(Impostazioni!$B$4&amp;"|"&amp;"A"&amp;"|"&amp;1,'Asta Live'!$J$4:$J$403,0)),"")</f>
        <v/>
      </c>
      <c r="B33" s="13">
        <f>IFERROR(INDEX('Asta Live'!$D$4:$D$403,MATCH(Impostazioni!$B$4&amp;"|"&amp;"A"&amp;"|"&amp;1,'Asta Live'!$J$4:$J$403,0)),"")</f>
        <v/>
      </c>
      <c r="C33" s="12">
        <f>IFERROR(INDEX('Asta Live'!$G$4:$G$403,MATCH(Impostazioni!$B$4&amp;"|"&amp;"A"&amp;"|"&amp;1,'Asta Live'!$J$4:$J$403,0)),"")</f>
        <v/>
      </c>
      <c r="E33" s="12">
        <f>IFERROR(INDEX('Asta Live'!$A$4:$A$403,MATCH(Impostazioni!$B$5&amp;"|"&amp;"A"&amp;"|"&amp;1,'Asta Live'!$J$4:$J$403,0)),"")</f>
        <v/>
      </c>
      <c r="F33" s="13">
        <f>IFERROR(INDEX('Asta Live'!$D$4:$D$403,MATCH(Impostazioni!$B$5&amp;"|"&amp;"A"&amp;"|"&amp;1,'Asta Live'!$J$4:$J$403,0)),"")</f>
        <v/>
      </c>
      <c r="G33" s="12">
        <f>IFERROR(INDEX('Asta Live'!$G$4:$G$403,MATCH(Impostazioni!$B$5&amp;"|"&amp;"A"&amp;"|"&amp;1,'Asta Live'!$J$4:$J$403,0)),"")</f>
        <v/>
      </c>
      <c r="I33" s="12">
        <f>IFERROR(INDEX('Asta Live'!$A$4:$A$403,MATCH(Impostazioni!$B$6&amp;"|"&amp;"A"&amp;"|"&amp;1,'Asta Live'!$J$4:$J$403,0)),"")</f>
        <v/>
      </c>
      <c r="J33" s="13">
        <f>IFERROR(INDEX('Asta Live'!$D$4:$D$403,MATCH(Impostazioni!$B$6&amp;"|"&amp;"A"&amp;"|"&amp;1,'Asta Live'!$J$4:$J$403,0)),"")</f>
        <v/>
      </c>
      <c r="K33" s="12">
        <f>IFERROR(INDEX('Asta Live'!$G$4:$G$403,MATCH(Impostazioni!$B$6&amp;"|"&amp;"A"&amp;"|"&amp;1,'Asta Live'!$J$4:$J$403,0)),"")</f>
        <v/>
      </c>
      <c r="M33" s="12">
        <f>IFERROR(INDEX('Asta Live'!$A$4:$A$403,MATCH(Impostazioni!$B$7&amp;"|"&amp;"A"&amp;"|"&amp;1,'Asta Live'!$J$4:$J$403,0)),"")</f>
        <v/>
      </c>
      <c r="N33" s="13">
        <f>IFERROR(INDEX('Asta Live'!$D$4:$D$403,MATCH(Impostazioni!$B$7&amp;"|"&amp;"A"&amp;"|"&amp;1,'Asta Live'!$J$4:$J$403,0)),"")</f>
        <v/>
      </c>
      <c r="O33" s="12">
        <f>IFERROR(INDEX('Asta Live'!$G$4:$G$403,MATCH(Impostazioni!$B$7&amp;"|"&amp;"A"&amp;"|"&amp;1,'Asta Live'!$J$4:$J$403,0)),"")</f>
        <v/>
      </c>
    </row>
    <row r="34">
      <c r="A34" s="12">
        <f>IFERROR(INDEX('Asta Live'!$A$4:$A$403,MATCH(Impostazioni!$B$4&amp;"|"&amp;"A"&amp;"|"&amp;2,'Asta Live'!$J$4:$J$403,0)),"")</f>
        <v/>
      </c>
      <c r="B34" s="13">
        <f>IFERROR(INDEX('Asta Live'!$D$4:$D$403,MATCH(Impostazioni!$B$4&amp;"|"&amp;"A"&amp;"|"&amp;2,'Asta Live'!$J$4:$J$403,0)),"")</f>
        <v/>
      </c>
      <c r="C34" s="12">
        <f>IFERROR(INDEX('Asta Live'!$G$4:$G$403,MATCH(Impostazioni!$B$4&amp;"|"&amp;"A"&amp;"|"&amp;2,'Asta Live'!$J$4:$J$403,0)),"")</f>
        <v/>
      </c>
      <c r="E34" s="12">
        <f>IFERROR(INDEX('Asta Live'!$A$4:$A$403,MATCH(Impostazioni!$B$5&amp;"|"&amp;"A"&amp;"|"&amp;2,'Asta Live'!$J$4:$J$403,0)),"")</f>
        <v/>
      </c>
      <c r="F34" s="13">
        <f>IFERROR(INDEX('Asta Live'!$D$4:$D$403,MATCH(Impostazioni!$B$5&amp;"|"&amp;"A"&amp;"|"&amp;2,'Asta Live'!$J$4:$J$403,0)),"")</f>
        <v/>
      </c>
      <c r="G34" s="12">
        <f>IFERROR(INDEX('Asta Live'!$G$4:$G$403,MATCH(Impostazioni!$B$5&amp;"|"&amp;"A"&amp;"|"&amp;2,'Asta Live'!$J$4:$J$403,0)),"")</f>
        <v/>
      </c>
      <c r="I34" s="12">
        <f>IFERROR(INDEX('Asta Live'!$A$4:$A$403,MATCH(Impostazioni!$B$6&amp;"|"&amp;"A"&amp;"|"&amp;2,'Asta Live'!$J$4:$J$403,0)),"")</f>
        <v/>
      </c>
      <c r="J34" s="13">
        <f>IFERROR(INDEX('Asta Live'!$D$4:$D$403,MATCH(Impostazioni!$B$6&amp;"|"&amp;"A"&amp;"|"&amp;2,'Asta Live'!$J$4:$J$403,0)),"")</f>
        <v/>
      </c>
      <c r="K34" s="12">
        <f>IFERROR(INDEX('Asta Live'!$G$4:$G$403,MATCH(Impostazioni!$B$6&amp;"|"&amp;"A"&amp;"|"&amp;2,'Asta Live'!$J$4:$J$403,0)),"")</f>
        <v/>
      </c>
      <c r="M34" s="12">
        <f>IFERROR(INDEX('Asta Live'!$A$4:$A$403,MATCH(Impostazioni!$B$7&amp;"|"&amp;"A"&amp;"|"&amp;2,'Asta Live'!$J$4:$J$403,0)),"")</f>
        <v/>
      </c>
      <c r="N34" s="13">
        <f>IFERROR(INDEX('Asta Live'!$D$4:$D$403,MATCH(Impostazioni!$B$7&amp;"|"&amp;"A"&amp;"|"&amp;2,'Asta Live'!$J$4:$J$403,0)),"")</f>
        <v/>
      </c>
      <c r="O34" s="12">
        <f>IFERROR(INDEX('Asta Live'!$G$4:$G$403,MATCH(Impostazioni!$B$7&amp;"|"&amp;"A"&amp;"|"&amp;2,'Asta Live'!$J$4:$J$403,0)),"")</f>
        <v/>
      </c>
    </row>
    <row r="35">
      <c r="A35" s="12">
        <f>IFERROR(INDEX('Asta Live'!$A$4:$A$403,MATCH(Impostazioni!$B$4&amp;"|"&amp;"A"&amp;"|"&amp;3,'Asta Live'!$J$4:$J$403,0)),"")</f>
        <v/>
      </c>
      <c r="B35" s="13">
        <f>IFERROR(INDEX('Asta Live'!$D$4:$D$403,MATCH(Impostazioni!$B$4&amp;"|"&amp;"A"&amp;"|"&amp;3,'Asta Live'!$J$4:$J$403,0)),"")</f>
        <v/>
      </c>
      <c r="C35" s="12">
        <f>IFERROR(INDEX('Asta Live'!$G$4:$G$403,MATCH(Impostazioni!$B$4&amp;"|"&amp;"A"&amp;"|"&amp;3,'Asta Live'!$J$4:$J$403,0)),"")</f>
        <v/>
      </c>
      <c r="E35" s="12">
        <f>IFERROR(INDEX('Asta Live'!$A$4:$A$403,MATCH(Impostazioni!$B$5&amp;"|"&amp;"A"&amp;"|"&amp;3,'Asta Live'!$J$4:$J$403,0)),"")</f>
        <v/>
      </c>
      <c r="F35" s="13">
        <f>IFERROR(INDEX('Asta Live'!$D$4:$D$403,MATCH(Impostazioni!$B$5&amp;"|"&amp;"A"&amp;"|"&amp;3,'Asta Live'!$J$4:$J$403,0)),"")</f>
        <v/>
      </c>
      <c r="G35" s="12">
        <f>IFERROR(INDEX('Asta Live'!$G$4:$G$403,MATCH(Impostazioni!$B$5&amp;"|"&amp;"A"&amp;"|"&amp;3,'Asta Live'!$J$4:$J$403,0)),"")</f>
        <v/>
      </c>
      <c r="I35" s="12">
        <f>IFERROR(INDEX('Asta Live'!$A$4:$A$403,MATCH(Impostazioni!$B$6&amp;"|"&amp;"A"&amp;"|"&amp;3,'Asta Live'!$J$4:$J$403,0)),"")</f>
        <v/>
      </c>
      <c r="J35" s="13">
        <f>IFERROR(INDEX('Asta Live'!$D$4:$D$403,MATCH(Impostazioni!$B$6&amp;"|"&amp;"A"&amp;"|"&amp;3,'Asta Live'!$J$4:$J$403,0)),"")</f>
        <v/>
      </c>
      <c r="K35" s="12">
        <f>IFERROR(INDEX('Asta Live'!$G$4:$G$403,MATCH(Impostazioni!$B$6&amp;"|"&amp;"A"&amp;"|"&amp;3,'Asta Live'!$J$4:$J$403,0)),"")</f>
        <v/>
      </c>
      <c r="M35" s="12">
        <f>IFERROR(INDEX('Asta Live'!$A$4:$A$403,MATCH(Impostazioni!$B$7&amp;"|"&amp;"A"&amp;"|"&amp;3,'Asta Live'!$J$4:$J$403,0)),"")</f>
        <v/>
      </c>
      <c r="N35" s="13">
        <f>IFERROR(INDEX('Asta Live'!$D$4:$D$403,MATCH(Impostazioni!$B$7&amp;"|"&amp;"A"&amp;"|"&amp;3,'Asta Live'!$J$4:$J$403,0)),"")</f>
        <v/>
      </c>
      <c r="O35" s="12">
        <f>IFERROR(INDEX('Asta Live'!$G$4:$G$403,MATCH(Impostazioni!$B$7&amp;"|"&amp;"A"&amp;"|"&amp;3,'Asta Live'!$J$4:$J$403,0)),"")</f>
        <v/>
      </c>
    </row>
    <row r="36">
      <c r="A36" s="12">
        <f>IFERROR(INDEX('Asta Live'!$A$4:$A$403,MATCH(Impostazioni!$B$4&amp;"|"&amp;"A"&amp;"|"&amp;4,'Asta Live'!$J$4:$J$403,0)),"")</f>
        <v/>
      </c>
      <c r="B36" s="13">
        <f>IFERROR(INDEX('Asta Live'!$D$4:$D$403,MATCH(Impostazioni!$B$4&amp;"|"&amp;"A"&amp;"|"&amp;4,'Asta Live'!$J$4:$J$403,0)),"")</f>
        <v/>
      </c>
      <c r="C36" s="12">
        <f>IFERROR(INDEX('Asta Live'!$G$4:$G$403,MATCH(Impostazioni!$B$4&amp;"|"&amp;"A"&amp;"|"&amp;4,'Asta Live'!$J$4:$J$403,0)),"")</f>
        <v/>
      </c>
      <c r="E36" s="12">
        <f>IFERROR(INDEX('Asta Live'!$A$4:$A$403,MATCH(Impostazioni!$B$5&amp;"|"&amp;"A"&amp;"|"&amp;4,'Asta Live'!$J$4:$J$403,0)),"")</f>
        <v/>
      </c>
      <c r="F36" s="13">
        <f>IFERROR(INDEX('Asta Live'!$D$4:$D$403,MATCH(Impostazioni!$B$5&amp;"|"&amp;"A"&amp;"|"&amp;4,'Asta Live'!$J$4:$J$403,0)),"")</f>
        <v/>
      </c>
      <c r="G36" s="12">
        <f>IFERROR(INDEX('Asta Live'!$G$4:$G$403,MATCH(Impostazioni!$B$5&amp;"|"&amp;"A"&amp;"|"&amp;4,'Asta Live'!$J$4:$J$403,0)),"")</f>
        <v/>
      </c>
      <c r="I36" s="12">
        <f>IFERROR(INDEX('Asta Live'!$A$4:$A$403,MATCH(Impostazioni!$B$6&amp;"|"&amp;"A"&amp;"|"&amp;4,'Asta Live'!$J$4:$J$403,0)),"")</f>
        <v/>
      </c>
      <c r="J36" s="13">
        <f>IFERROR(INDEX('Asta Live'!$D$4:$D$403,MATCH(Impostazioni!$B$6&amp;"|"&amp;"A"&amp;"|"&amp;4,'Asta Live'!$J$4:$J$403,0)),"")</f>
        <v/>
      </c>
      <c r="K36" s="12">
        <f>IFERROR(INDEX('Asta Live'!$G$4:$G$403,MATCH(Impostazioni!$B$6&amp;"|"&amp;"A"&amp;"|"&amp;4,'Asta Live'!$J$4:$J$403,0)),"")</f>
        <v/>
      </c>
      <c r="M36" s="12">
        <f>IFERROR(INDEX('Asta Live'!$A$4:$A$403,MATCH(Impostazioni!$B$7&amp;"|"&amp;"A"&amp;"|"&amp;4,'Asta Live'!$J$4:$J$403,0)),"")</f>
        <v/>
      </c>
      <c r="N36" s="13">
        <f>IFERROR(INDEX('Asta Live'!$D$4:$D$403,MATCH(Impostazioni!$B$7&amp;"|"&amp;"A"&amp;"|"&amp;4,'Asta Live'!$J$4:$J$403,0)),"")</f>
        <v/>
      </c>
      <c r="O36" s="12">
        <f>IFERROR(INDEX('Asta Live'!$G$4:$G$403,MATCH(Impostazioni!$B$7&amp;"|"&amp;"A"&amp;"|"&amp;4,'Asta Live'!$J$4:$J$403,0)),"")</f>
        <v/>
      </c>
    </row>
    <row r="37">
      <c r="A37" s="12">
        <f>IFERROR(INDEX('Asta Live'!$A$4:$A$403,MATCH(Impostazioni!$B$4&amp;"|"&amp;"A"&amp;"|"&amp;5,'Asta Live'!$J$4:$J$403,0)),"")</f>
        <v/>
      </c>
      <c r="B37" s="13">
        <f>IFERROR(INDEX('Asta Live'!$D$4:$D$403,MATCH(Impostazioni!$B$4&amp;"|"&amp;"A"&amp;"|"&amp;5,'Asta Live'!$J$4:$J$403,0)),"")</f>
        <v/>
      </c>
      <c r="C37" s="12">
        <f>IFERROR(INDEX('Asta Live'!$G$4:$G$403,MATCH(Impostazioni!$B$4&amp;"|"&amp;"A"&amp;"|"&amp;5,'Asta Live'!$J$4:$J$403,0)),"")</f>
        <v/>
      </c>
      <c r="E37" s="12">
        <f>IFERROR(INDEX('Asta Live'!$A$4:$A$403,MATCH(Impostazioni!$B$5&amp;"|"&amp;"A"&amp;"|"&amp;5,'Asta Live'!$J$4:$J$403,0)),"")</f>
        <v/>
      </c>
      <c r="F37" s="13">
        <f>IFERROR(INDEX('Asta Live'!$D$4:$D$403,MATCH(Impostazioni!$B$5&amp;"|"&amp;"A"&amp;"|"&amp;5,'Asta Live'!$J$4:$J$403,0)),"")</f>
        <v/>
      </c>
      <c r="G37" s="12">
        <f>IFERROR(INDEX('Asta Live'!$G$4:$G$403,MATCH(Impostazioni!$B$5&amp;"|"&amp;"A"&amp;"|"&amp;5,'Asta Live'!$J$4:$J$403,0)),"")</f>
        <v/>
      </c>
      <c r="I37" s="12">
        <f>IFERROR(INDEX('Asta Live'!$A$4:$A$403,MATCH(Impostazioni!$B$6&amp;"|"&amp;"A"&amp;"|"&amp;5,'Asta Live'!$J$4:$J$403,0)),"")</f>
        <v/>
      </c>
      <c r="J37" s="13">
        <f>IFERROR(INDEX('Asta Live'!$D$4:$D$403,MATCH(Impostazioni!$B$6&amp;"|"&amp;"A"&amp;"|"&amp;5,'Asta Live'!$J$4:$J$403,0)),"")</f>
        <v/>
      </c>
      <c r="K37" s="12">
        <f>IFERROR(INDEX('Asta Live'!$G$4:$G$403,MATCH(Impostazioni!$B$6&amp;"|"&amp;"A"&amp;"|"&amp;5,'Asta Live'!$J$4:$J$403,0)),"")</f>
        <v/>
      </c>
      <c r="M37" s="12">
        <f>IFERROR(INDEX('Asta Live'!$A$4:$A$403,MATCH(Impostazioni!$B$7&amp;"|"&amp;"A"&amp;"|"&amp;5,'Asta Live'!$J$4:$J$403,0)),"")</f>
        <v/>
      </c>
      <c r="N37" s="13">
        <f>IFERROR(INDEX('Asta Live'!$D$4:$D$403,MATCH(Impostazioni!$B$7&amp;"|"&amp;"A"&amp;"|"&amp;5,'Asta Live'!$J$4:$J$403,0)),"")</f>
        <v/>
      </c>
      <c r="O37" s="12">
        <f>IFERROR(INDEX('Asta Live'!$G$4:$G$403,MATCH(Impostazioni!$B$7&amp;"|"&amp;"A"&amp;"|"&amp;5,'Asta Live'!$J$4:$J$403,0)),"")</f>
        <v/>
      </c>
    </row>
    <row r="38">
      <c r="A38" s="12">
        <f>IFERROR(INDEX('Asta Live'!$A$4:$A$403,MATCH(Impostazioni!$B$4&amp;"|"&amp;"A"&amp;"|"&amp;6,'Asta Live'!$J$4:$J$403,0)),"")</f>
        <v/>
      </c>
      <c r="B38" s="13">
        <f>IFERROR(INDEX('Asta Live'!$D$4:$D$403,MATCH(Impostazioni!$B$4&amp;"|"&amp;"A"&amp;"|"&amp;6,'Asta Live'!$J$4:$J$403,0)),"")</f>
        <v/>
      </c>
      <c r="C38" s="12">
        <f>IFERROR(INDEX('Asta Live'!$G$4:$G$403,MATCH(Impostazioni!$B$4&amp;"|"&amp;"A"&amp;"|"&amp;6,'Asta Live'!$J$4:$J$403,0)),"")</f>
        <v/>
      </c>
      <c r="E38" s="12">
        <f>IFERROR(INDEX('Asta Live'!$A$4:$A$403,MATCH(Impostazioni!$B$5&amp;"|"&amp;"A"&amp;"|"&amp;6,'Asta Live'!$J$4:$J$403,0)),"")</f>
        <v/>
      </c>
      <c r="F38" s="13">
        <f>IFERROR(INDEX('Asta Live'!$D$4:$D$403,MATCH(Impostazioni!$B$5&amp;"|"&amp;"A"&amp;"|"&amp;6,'Asta Live'!$J$4:$J$403,0)),"")</f>
        <v/>
      </c>
      <c r="G38" s="12">
        <f>IFERROR(INDEX('Asta Live'!$G$4:$G$403,MATCH(Impostazioni!$B$5&amp;"|"&amp;"A"&amp;"|"&amp;6,'Asta Live'!$J$4:$J$403,0)),"")</f>
        <v/>
      </c>
      <c r="I38" s="12">
        <f>IFERROR(INDEX('Asta Live'!$A$4:$A$403,MATCH(Impostazioni!$B$6&amp;"|"&amp;"A"&amp;"|"&amp;6,'Asta Live'!$J$4:$J$403,0)),"")</f>
        <v/>
      </c>
      <c r="J38" s="13">
        <f>IFERROR(INDEX('Asta Live'!$D$4:$D$403,MATCH(Impostazioni!$B$6&amp;"|"&amp;"A"&amp;"|"&amp;6,'Asta Live'!$J$4:$J$403,0)),"")</f>
        <v/>
      </c>
      <c r="K38" s="12">
        <f>IFERROR(INDEX('Asta Live'!$G$4:$G$403,MATCH(Impostazioni!$B$6&amp;"|"&amp;"A"&amp;"|"&amp;6,'Asta Live'!$J$4:$J$403,0)),"")</f>
        <v/>
      </c>
      <c r="M38" s="12">
        <f>IFERROR(INDEX('Asta Live'!$A$4:$A$403,MATCH(Impostazioni!$B$7&amp;"|"&amp;"A"&amp;"|"&amp;6,'Asta Live'!$J$4:$J$403,0)),"")</f>
        <v/>
      </c>
      <c r="N38" s="13">
        <f>IFERROR(INDEX('Asta Live'!$D$4:$D$403,MATCH(Impostazioni!$B$7&amp;"|"&amp;"A"&amp;"|"&amp;6,'Asta Live'!$J$4:$J$403,0)),"")</f>
        <v/>
      </c>
      <c r="O38" s="12">
        <f>IFERROR(INDEX('Asta Live'!$G$4:$G$403,MATCH(Impostazioni!$B$7&amp;"|"&amp;"A"&amp;"|"&amp;6,'Asta Live'!$J$4:$J$403,0)),"")</f>
        <v/>
      </c>
    </row>
    <row r="39">
      <c r="A39" s="12">
        <f>IFERROR(INDEX('Asta Live'!$A$4:$A$403,MATCH(Impostazioni!$B$4&amp;"|"&amp;"A"&amp;"|"&amp;7,'Asta Live'!$J$4:$J$403,0)),"")</f>
        <v/>
      </c>
      <c r="B39" s="13">
        <f>IFERROR(INDEX('Asta Live'!$D$4:$D$403,MATCH(Impostazioni!$B$4&amp;"|"&amp;"A"&amp;"|"&amp;7,'Asta Live'!$J$4:$J$403,0)),"")</f>
        <v/>
      </c>
      <c r="C39" s="12">
        <f>IFERROR(INDEX('Asta Live'!$G$4:$G$403,MATCH(Impostazioni!$B$4&amp;"|"&amp;"A"&amp;"|"&amp;7,'Asta Live'!$J$4:$J$403,0)),"")</f>
        <v/>
      </c>
      <c r="E39" s="12">
        <f>IFERROR(INDEX('Asta Live'!$A$4:$A$403,MATCH(Impostazioni!$B$5&amp;"|"&amp;"A"&amp;"|"&amp;7,'Asta Live'!$J$4:$J$403,0)),"")</f>
        <v/>
      </c>
      <c r="F39" s="13">
        <f>IFERROR(INDEX('Asta Live'!$D$4:$D$403,MATCH(Impostazioni!$B$5&amp;"|"&amp;"A"&amp;"|"&amp;7,'Asta Live'!$J$4:$J$403,0)),"")</f>
        <v/>
      </c>
      <c r="G39" s="12">
        <f>IFERROR(INDEX('Asta Live'!$G$4:$G$403,MATCH(Impostazioni!$B$5&amp;"|"&amp;"A"&amp;"|"&amp;7,'Asta Live'!$J$4:$J$403,0)),"")</f>
        <v/>
      </c>
      <c r="I39" s="12">
        <f>IFERROR(INDEX('Asta Live'!$A$4:$A$403,MATCH(Impostazioni!$B$6&amp;"|"&amp;"A"&amp;"|"&amp;7,'Asta Live'!$J$4:$J$403,0)),"")</f>
        <v/>
      </c>
      <c r="J39" s="13">
        <f>IFERROR(INDEX('Asta Live'!$D$4:$D$403,MATCH(Impostazioni!$B$6&amp;"|"&amp;"A"&amp;"|"&amp;7,'Asta Live'!$J$4:$J$403,0)),"")</f>
        <v/>
      </c>
      <c r="K39" s="12">
        <f>IFERROR(INDEX('Asta Live'!$G$4:$G$403,MATCH(Impostazioni!$B$6&amp;"|"&amp;"A"&amp;"|"&amp;7,'Asta Live'!$J$4:$J$403,0)),"")</f>
        <v/>
      </c>
      <c r="M39" s="12">
        <f>IFERROR(INDEX('Asta Live'!$A$4:$A$403,MATCH(Impostazioni!$B$7&amp;"|"&amp;"A"&amp;"|"&amp;7,'Asta Live'!$J$4:$J$403,0)),"")</f>
        <v/>
      </c>
      <c r="N39" s="13">
        <f>IFERROR(INDEX('Asta Live'!$D$4:$D$403,MATCH(Impostazioni!$B$7&amp;"|"&amp;"A"&amp;"|"&amp;7,'Asta Live'!$J$4:$J$403,0)),"")</f>
        <v/>
      </c>
      <c r="O39" s="12">
        <f>IFERROR(INDEX('Asta Live'!$G$4:$G$403,MATCH(Impostazioni!$B$7&amp;"|"&amp;"A"&amp;"|"&amp;7,'Asta Live'!$J$4:$J$403,0)),"")</f>
        <v/>
      </c>
    </row>
    <row r="40">
      <c r="A40" s="12">
        <f>IFERROR(INDEX('Asta Live'!$A$4:$A$403,MATCH(Impostazioni!$B$4&amp;"|"&amp;"A"&amp;"|"&amp;8,'Asta Live'!$J$4:$J$403,0)),"")</f>
        <v/>
      </c>
      <c r="B40" s="13">
        <f>IFERROR(INDEX('Asta Live'!$D$4:$D$403,MATCH(Impostazioni!$B$4&amp;"|"&amp;"A"&amp;"|"&amp;8,'Asta Live'!$J$4:$J$403,0)),"")</f>
        <v/>
      </c>
      <c r="C40" s="12">
        <f>IFERROR(INDEX('Asta Live'!$G$4:$G$403,MATCH(Impostazioni!$B$4&amp;"|"&amp;"A"&amp;"|"&amp;8,'Asta Live'!$J$4:$J$403,0)),"")</f>
        <v/>
      </c>
      <c r="E40" s="12">
        <f>IFERROR(INDEX('Asta Live'!$A$4:$A$403,MATCH(Impostazioni!$B$5&amp;"|"&amp;"A"&amp;"|"&amp;8,'Asta Live'!$J$4:$J$403,0)),"")</f>
        <v/>
      </c>
      <c r="F40" s="13">
        <f>IFERROR(INDEX('Asta Live'!$D$4:$D$403,MATCH(Impostazioni!$B$5&amp;"|"&amp;"A"&amp;"|"&amp;8,'Asta Live'!$J$4:$J$403,0)),"")</f>
        <v/>
      </c>
      <c r="G40" s="12">
        <f>IFERROR(INDEX('Asta Live'!$G$4:$G$403,MATCH(Impostazioni!$B$5&amp;"|"&amp;"A"&amp;"|"&amp;8,'Asta Live'!$J$4:$J$403,0)),"")</f>
        <v/>
      </c>
      <c r="I40" s="12">
        <f>IFERROR(INDEX('Asta Live'!$A$4:$A$403,MATCH(Impostazioni!$B$6&amp;"|"&amp;"A"&amp;"|"&amp;8,'Asta Live'!$J$4:$J$403,0)),"")</f>
        <v/>
      </c>
      <c r="J40" s="13">
        <f>IFERROR(INDEX('Asta Live'!$D$4:$D$403,MATCH(Impostazioni!$B$6&amp;"|"&amp;"A"&amp;"|"&amp;8,'Asta Live'!$J$4:$J$403,0)),"")</f>
        <v/>
      </c>
      <c r="K40" s="12">
        <f>IFERROR(INDEX('Asta Live'!$G$4:$G$403,MATCH(Impostazioni!$B$6&amp;"|"&amp;"A"&amp;"|"&amp;8,'Asta Live'!$J$4:$J$403,0)),"")</f>
        <v/>
      </c>
      <c r="M40" s="12">
        <f>IFERROR(INDEX('Asta Live'!$A$4:$A$403,MATCH(Impostazioni!$B$7&amp;"|"&amp;"A"&amp;"|"&amp;8,'Asta Live'!$J$4:$J$403,0)),"")</f>
        <v/>
      </c>
      <c r="N40" s="13">
        <f>IFERROR(INDEX('Asta Live'!$D$4:$D$403,MATCH(Impostazioni!$B$7&amp;"|"&amp;"A"&amp;"|"&amp;8,'Asta Live'!$J$4:$J$403,0)),"")</f>
        <v/>
      </c>
      <c r="O40" s="12">
        <f>IFERROR(INDEX('Asta Live'!$G$4:$G$403,MATCH(Impostazioni!$B$7&amp;"|"&amp;"A"&amp;"|"&amp;8,'Asta Live'!$J$4:$J$403,0)),"")</f>
        <v/>
      </c>
    </row>
    <row r="41">
      <c r="A41" s="14" t="inlineStr">
        <is>
          <t>Totale Attaccanti</t>
        </is>
      </c>
      <c r="B41" s="15" t="n"/>
      <c r="C41" s="14">
        <f>SUM(C33:C40)</f>
        <v/>
      </c>
      <c r="E41" s="14" t="inlineStr">
        <is>
          <t>Totale Attaccanti</t>
        </is>
      </c>
      <c r="F41" s="15" t="n"/>
      <c r="G41" s="14">
        <f>SUM(G33:G40)</f>
        <v/>
      </c>
      <c r="I41" s="14" t="inlineStr">
        <is>
          <t>Totale Attaccanti</t>
        </is>
      </c>
      <c r="J41" s="15" t="n"/>
      <c r="K41" s="14">
        <f>SUM(K33:K40)</f>
        <v/>
      </c>
      <c r="M41" s="14" t="inlineStr">
        <is>
          <t>Totale Attaccanti</t>
        </is>
      </c>
      <c r="N41" s="15" t="n"/>
      <c r="O41" s="14">
        <f>SUM(O33:O40)</f>
        <v/>
      </c>
    </row>
    <row r="42">
      <c r="A42" s="19" t="inlineStr">
        <is>
          <t>TOTALE ROSA</t>
        </is>
      </c>
      <c r="B42" s="20" t="n"/>
      <c r="C42" s="19">
        <f>C8+C21+C31+C41</f>
        <v/>
      </c>
      <c r="E42" s="19" t="inlineStr">
        <is>
          <t>TOTALE ROSA</t>
        </is>
      </c>
      <c r="F42" s="20" t="n"/>
      <c r="G42" s="19">
        <f>G8+G21+G31+G41</f>
        <v/>
      </c>
      <c r="I42" s="19" t="inlineStr">
        <is>
          <t>TOTALE ROSA</t>
        </is>
      </c>
      <c r="J42" s="20" t="n"/>
      <c r="K42" s="19">
        <f>K8+K21+K31+K41</f>
        <v/>
      </c>
      <c r="M42" s="19" t="inlineStr">
        <is>
          <t>TOTALE ROSA</t>
        </is>
      </c>
      <c r="N42" s="20" t="n"/>
      <c r="O42" s="19">
        <f>O8+O21+O31+O41</f>
        <v/>
      </c>
    </row>
    <row r="43">
      <c r="A43" s="5" t="inlineStr">
        <is>
          <t>RESIDUO</t>
        </is>
      </c>
      <c r="C43" s="5">
        <f>Impostazioni!$B$2-(C8+C21+C31+C41)</f>
        <v/>
      </c>
      <c r="E43" s="5" t="inlineStr">
        <is>
          <t>RESIDUO</t>
        </is>
      </c>
      <c r="G43" s="5">
        <f>Impostazioni!$B$2-(G8+G21+G31+G41)</f>
        <v/>
      </c>
      <c r="I43" s="5" t="inlineStr">
        <is>
          <t>RESIDUO</t>
        </is>
      </c>
      <c r="K43" s="5">
        <f>Impostazioni!$B$2-(K8+K21+K31+K41)</f>
        <v/>
      </c>
      <c r="M43" s="5" t="inlineStr">
        <is>
          <t>RESIDUO</t>
        </is>
      </c>
      <c r="O43" s="5">
        <f>Impostazioni!$B$2-(O8+O21+O31+O41)</f>
        <v/>
      </c>
    </row>
    <row r="48">
      <c r="A48" s="10">
        <f>Impostazioni!$B$8</f>
        <v/>
      </c>
      <c r="E48" s="10">
        <f>Impostazioni!$B$9</f>
        <v/>
      </c>
      <c r="I48" s="10">
        <f>Impostazioni!$B$10</f>
        <v/>
      </c>
      <c r="M48" s="10">
        <f>Impostazioni!$B$11</f>
        <v/>
      </c>
    </row>
    <row r="49">
      <c r="A49" s="11" t="inlineStr">
        <is>
          <t>PORTIERI</t>
        </is>
      </c>
      <c r="E49" s="11" t="inlineStr">
        <is>
          <t>PORTIERI</t>
        </is>
      </c>
      <c r="I49" s="11" t="inlineStr">
        <is>
          <t>PORTIERI</t>
        </is>
      </c>
      <c r="M49" s="11" t="inlineStr">
        <is>
          <t>PORTIERI</t>
        </is>
      </c>
    </row>
    <row r="50">
      <c r="A50" s="12">
        <f>IFERROR(INDEX('Asta Live'!$A$4:$A$403,MATCH(Impostazioni!$B$8&amp;"|"&amp;"P"&amp;"|"&amp;1,'Asta Live'!$J$4:$J$403,0)),"")</f>
        <v/>
      </c>
      <c r="B50" s="13">
        <f>IFERROR(INDEX('Asta Live'!$D$4:$D$403,MATCH(Impostazioni!$B$8&amp;"|"&amp;"P"&amp;"|"&amp;1,'Asta Live'!$J$4:$J$403,0)),"")</f>
        <v/>
      </c>
      <c r="C50" s="12">
        <f>IFERROR(INDEX('Asta Live'!$G$4:$G$403,MATCH(Impostazioni!$B$8&amp;"|"&amp;"P"&amp;"|"&amp;1,'Asta Live'!$J$4:$J$403,0)),"")</f>
        <v/>
      </c>
      <c r="E50" s="12">
        <f>IFERROR(INDEX('Asta Live'!$A$4:$A$403,MATCH(Impostazioni!$B$9&amp;"|"&amp;"P"&amp;"|"&amp;1,'Asta Live'!$J$4:$J$403,0)),"")</f>
        <v/>
      </c>
      <c r="F50" s="13">
        <f>IFERROR(INDEX('Asta Live'!$D$4:$D$403,MATCH(Impostazioni!$B$9&amp;"|"&amp;"P"&amp;"|"&amp;1,'Asta Live'!$J$4:$J$403,0)),"")</f>
        <v/>
      </c>
      <c r="G50" s="12">
        <f>IFERROR(INDEX('Asta Live'!$G$4:$G$403,MATCH(Impostazioni!$B$9&amp;"|"&amp;"P"&amp;"|"&amp;1,'Asta Live'!$J$4:$J$403,0)),"")</f>
        <v/>
      </c>
      <c r="I50" s="12">
        <f>IFERROR(INDEX('Asta Live'!$A$4:$A$403,MATCH(Impostazioni!$B$10&amp;"|"&amp;"P"&amp;"|"&amp;1,'Asta Live'!$J$4:$J$403,0)),"")</f>
        <v/>
      </c>
      <c r="J50" s="13">
        <f>IFERROR(INDEX('Asta Live'!$D$4:$D$403,MATCH(Impostazioni!$B$10&amp;"|"&amp;"P"&amp;"|"&amp;1,'Asta Live'!$J$4:$J$403,0)),"")</f>
        <v/>
      </c>
      <c r="K50" s="12">
        <f>IFERROR(INDEX('Asta Live'!$G$4:$G$403,MATCH(Impostazioni!$B$10&amp;"|"&amp;"P"&amp;"|"&amp;1,'Asta Live'!$J$4:$J$403,0)),"")</f>
        <v/>
      </c>
      <c r="M50" s="12">
        <f>IFERROR(INDEX('Asta Live'!$A$4:$A$403,MATCH(Impostazioni!$B$11&amp;"|"&amp;"P"&amp;"|"&amp;1,'Asta Live'!$J$4:$J$403,0)),"")</f>
        <v/>
      </c>
      <c r="N50" s="13">
        <f>IFERROR(INDEX('Asta Live'!$D$4:$D$403,MATCH(Impostazioni!$B$11&amp;"|"&amp;"P"&amp;"|"&amp;1,'Asta Live'!$J$4:$J$403,0)),"")</f>
        <v/>
      </c>
      <c r="O50" s="12">
        <f>IFERROR(INDEX('Asta Live'!$G$4:$G$403,MATCH(Impostazioni!$B$11&amp;"|"&amp;"P"&amp;"|"&amp;1,'Asta Live'!$J$4:$J$403,0)),"")</f>
        <v/>
      </c>
    </row>
    <row r="51">
      <c r="A51" s="12">
        <f>IFERROR(INDEX('Asta Live'!$A$4:$A$403,MATCH(Impostazioni!$B$8&amp;"|"&amp;"P"&amp;"|"&amp;2,'Asta Live'!$J$4:$J$403,0)),"")</f>
        <v/>
      </c>
      <c r="B51" s="13">
        <f>IFERROR(INDEX('Asta Live'!$D$4:$D$403,MATCH(Impostazioni!$B$8&amp;"|"&amp;"P"&amp;"|"&amp;2,'Asta Live'!$J$4:$J$403,0)),"")</f>
        <v/>
      </c>
      <c r="C51" s="12">
        <f>IFERROR(INDEX('Asta Live'!$G$4:$G$403,MATCH(Impostazioni!$B$8&amp;"|"&amp;"P"&amp;"|"&amp;2,'Asta Live'!$J$4:$J$403,0)),"")</f>
        <v/>
      </c>
      <c r="E51" s="12">
        <f>IFERROR(INDEX('Asta Live'!$A$4:$A$403,MATCH(Impostazioni!$B$9&amp;"|"&amp;"P"&amp;"|"&amp;2,'Asta Live'!$J$4:$J$403,0)),"")</f>
        <v/>
      </c>
      <c r="F51" s="13">
        <f>IFERROR(INDEX('Asta Live'!$D$4:$D$403,MATCH(Impostazioni!$B$9&amp;"|"&amp;"P"&amp;"|"&amp;2,'Asta Live'!$J$4:$J$403,0)),"")</f>
        <v/>
      </c>
      <c r="G51" s="12">
        <f>IFERROR(INDEX('Asta Live'!$G$4:$G$403,MATCH(Impostazioni!$B$9&amp;"|"&amp;"P"&amp;"|"&amp;2,'Asta Live'!$J$4:$J$403,0)),"")</f>
        <v/>
      </c>
      <c r="I51" s="12">
        <f>IFERROR(INDEX('Asta Live'!$A$4:$A$403,MATCH(Impostazioni!$B$10&amp;"|"&amp;"P"&amp;"|"&amp;2,'Asta Live'!$J$4:$J$403,0)),"")</f>
        <v/>
      </c>
      <c r="J51" s="13">
        <f>IFERROR(INDEX('Asta Live'!$D$4:$D$403,MATCH(Impostazioni!$B$10&amp;"|"&amp;"P"&amp;"|"&amp;2,'Asta Live'!$J$4:$J$403,0)),"")</f>
        <v/>
      </c>
      <c r="K51" s="12">
        <f>IFERROR(INDEX('Asta Live'!$G$4:$G$403,MATCH(Impostazioni!$B$10&amp;"|"&amp;"P"&amp;"|"&amp;2,'Asta Live'!$J$4:$J$403,0)),"")</f>
        <v/>
      </c>
      <c r="M51" s="12">
        <f>IFERROR(INDEX('Asta Live'!$A$4:$A$403,MATCH(Impostazioni!$B$11&amp;"|"&amp;"P"&amp;"|"&amp;2,'Asta Live'!$J$4:$J$403,0)),"")</f>
        <v/>
      </c>
      <c r="N51" s="13">
        <f>IFERROR(INDEX('Asta Live'!$D$4:$D$403,MATCH(Impostazioni!$B$11&amp;"|"&amp;"P"&amp;"|"&amp;2,'Asta Live'!$J$4:$J$403,0)),"")</f>
        <v/>
      </c>
      <c r="O51" s="12">
        <f>IFERROR(INDEX('Asta Live'!$G$4:$G$403,MATCH(Impostazioni!$B$11&amp;"|"&amp;"P"&amp;"|"&amp;2,'Asta Live'!$J$4:$J$403,0)),"")</f>
        <v/>
      </c>
    </row>
    <row r="52">
      <c r="A52" s="12">
        <f>IFERROR(INDEX('Asta Live'!$A$4:$A$403,MATCH(Impostazioni!$B$8&amp;"|"&amp;"P"&amp;"|"&amp;3,'Asta Live'!$J$4:$J$403,0)),"")</f>
        <v/>
      </c>
      <c r="B52" s="13">
        <f>IFERROR(INDEX('Asta Live'!$D$4:$D$403,MATCH(Impostazioni!$B$8&amp;"|"&amp;"P"&amp;"|"&amp;3,'Asta Live'!$J$4:$J$403,0)),"")</f>
        <v/>
      </c>
      <c r="C52" s="12">
        <f>IFERROR(INDEX('Asta Live'!$G$4:$G$403,MATCH(Impostazioni!$B$8&amp;"|"&amp;"P"&amp;"|"&amp;3,'Asta Live'!$J$4:$J$403,0)),"")</f>
        <v/>
      </c>
      <c r="E52" s="12">
        <f>IFERROR(INDEX('Asta Live'!$A$4:$A$403,MATCH(Impostazioni!$B$9&amp;"|"&amp;"P"&amp;"|"&amp;3,'Asta Live'!$J$4:$J$403,0)),"")</f>
        <v/>
      </c>
      <c r="F52" s="13">
        <f>IFERROR(INDEX('Asta Live'!$D$4:$D$403,MATCH(Impostazioni!$B$9&amp;"|"&amp;"P"&amp;"|"&amp;3,'Asta Live'!$J$4:$J$403,0)),"")</f>
        <v/>
      </c>
      <c r="G52" s="12">
        <f>IFERROR(INDEX('Asta Live'!$G$4:$G$403,MATCH(Impostazioni!$B$9&amp;"|"&amp;"P"&amp;"|"&amp;3,'Asta Live'!$J$4:$J$403,0)),"")</f>
        <v/>
      </c>
      <c r="I52" s="12">
        <f>IFERROR(INDEX('Asta Live'!$A$4:$A$403,MATCH(Impostazioni!$B$10&amp;"|"&amp;"P"&amp;"|"&amp;3,'Asta Live'!$J$4:$J$403,0)),"")</f>
        <v/>
      </c>
      <c r="J52" s="13">
        <f>IFERROR(INDEX('Asta Live'!$D$4:$D$403,MATCH(Impostazioni!$B$10&amp;"|"&amp;"P"&amp;"|"&amp;3,'Asta Live'!$J$4:$J$403,0)),"")</f>
        <v/>
      </c>
      <c r="K52" s="12">
        <f>IFERROR(INDEX('Asta Live'!$G$4:$G$403,MATCH(Impostazioni!$B$10&amp;"|"&amp;"P"&amp;"|"&amp;3,'Asta Live'!$J$4:$J$403,0)),"")</f>
        <v/>
      </c>
      <c r="M52" s="12">
        <f>IFERROR(INDEX('Asta Live'!$A$4:$A$403,MATCH(Impostazioni!$B$11&amp;"|"&amp;"P"&amp;"|"&amp;3,'Asta Live'!$J$4:$J$403,0)),"")</f>
        <v/>
      </c>
      <c r="N52" s="13">
        <f>IFERROR(INDEX('Asta Live'!$D$4:$D$403,MATCH(Impostazioni!$B$11&amp;"|"&amp;"P"&amp;"|"&amp;3,'Asta Live'!$J$4:$J$403,0)),"")</f>
        <v/>
      </c>
      <c r="O52" s="12">
        <f>IFERROR(INDEX('Asta Live'!$G$4:$G$403,MATCH(Impostazioni!$B$11&amp;"|"&amp;"P"&amp;"|"&amp;3,'Asta Live'!$J$4:$J$403,0)),"")</f>
        <v/>
      </c>
    </row>
    <row r="53">
      <c r="A53" s="14" t="inlineStr">
        <is>
          <t>Totale Portieri</t>
        </is>
      </c>
      <c r="B53" s="15" t="n"/>
      <c r="C53" s="14">
        <f>SUM(C50:C52)</f>
        <v/>
      </c>
      <c r="E53" s="14" t="inlineStr">
        <is>
          <t>Totale Portieri</t>
        </is>
      </c>
      <c r="F53" s="15" t="n"/>
      <c r="G53" s="14">
        <f>SUM(G50:G52)</f>
        <v/>
      </c>
      <c r="I53" s="14" t="inlineStr">
        <is>
          <t>Totale Portieri</t>
        </is>
      </c>
      <c r="J53" s="15" t="n"/>
      <c r="K53" s="14">
        <f>SUM(K50:K52)</f>
        <v/>
      </c>
      <c r="M53" s="14" t="inlineStr">
        <is>
          <t>Totale Portieri</t>
        </is>
      </c>
      <c r="N53" s="15" t="n"/>
      <c r="O53" s="14">
        <f>SUM(O50:O52)</f>
        <v/>
      </c>
    </row>
    <row r="54">
      <c r="A54" s="16" t="inlineStr">
        <is>
          <t>DIFENSORI</t>
        </is>
      </c>
      <c r="E54" s="16" t="inlineStr">
        <is>
          <t>DIFENSORI</t>
        </is>
      </c>
      <c r="I54" s="16" t="inlineStr">
        <is>
          <t>DIFENSORI</t>
        </is>
      </c>
      <c r="M54" s="16" t="inlineStr">
        <is>
          <t>DIFENSORI</t>
        </is>
      </c>
    </row>
    <row r="55">
      <c r="A55" s="12">
        <f>IFERROR(INDEX('Asta Live'!$A$4:$A$403,MATCH(Impostazioni!$B$8&amp;"|"&amp;"D"&amp;"|"&amp;1,'Asta Live'!$J$4:$J$403,0)),"")</f>
        <v/>
      </c>
      <c r="B55" s="13">
        <f>IFERROR(INDEX('Asta Live'!$D$4:$D$403,MATCH(Impostazioni!$B$8&amp;"|"&amp;"D"&amp;"|"&amp;1,'Asta Live'!$J$4:$J$403,0)),"")</f>
        <v/>
      </c>
      <c r="C55" s="12">
        <f>IFERROR(INDEX('Asta Live'!$G$4:$G$403,MATCH(Impostazioni!$B$8&amp;"|"&amp;"D"&amp;"|"&amp;1,'Asta Live'!$J$4:$J$403,0)),"")</f>
        <v/>
      </c>
      <c r="E55" s="12">
        <f>IFERROR(INDEX('Asta Live'!$A$4:$A$403,MATCH(Impostazioni!$B$9&amp;"|"&amp;"D"&amp;"|"&amp;1,'Asta Live'!$J$4:$J$403,0)),"")</f>
        <v/>
      </c>
      <c r="F55" s="13">
        <f>IFERROR(INDEX('Asta Live'!$D$4:$D$403,MATCH(Impostazioni!$B$9&amp;"|"&amp;"D"&amp;"|"&amp;1,'Asta Live'!$J$4:$J$403,0)),"")</f>
        <v/>
      </c>
      <c r="G55" s="12">
        <f>IFERROR(INDEX('Asta Live'!$G$4:$G$403,MATCH(Impostazioni!$B$9&amp;"|"&amp;"D"&amp;"|"&amp;1,'Asta Live'!$J$4:$J$403,0)),"")</f>
        <v/>
      </c>
      <c r="I55" s="12">
        <f>IFERROR(INDEX('Asta Live'!$A$4:$A$403,MATCH(Impostazioni!$B$10&amp;"|"&amp;"D"&amp;"|"&amp;1,'Asta Live'!$J$4:$J$403,0)),"")</f>
        <v/>
      </c>
      <c r="J55" s="13">
        <f>IFERROR(INDEX('Asta Live'!$D$4:$D$403,MATCH(Impostazioni!$B$10&amp;"|"&amp;"D"&amp;"|"&amp;1,'Asta Live'!$J$4:$J$403,0)),"")</f>
        <v/>
      </c>
      <c r="K55" s="12">
        <f>IFERROR(INDEX('Asta Live'!$G$4:$G$403,MATCH(Impostazioni!$B$10&amp;"|"&amp;"D"&amp;"|"&amp;1,'Asta Live'!$J$4:$J$403,0)),"")</f>
        <v/>
      </c>
      <c r="M55" s="12">
        <f>IFERROR(INDEX('Asta Live'!$A$4:$A$403,MATCH(Impostazioni!$B$11&amp;"|"&amp;"D"&amp;"|"&amp;1,'Asta Live'!$J$4:$J$403,0)),"")</f>
        <v/>
      </c>
      <c r="N55" s="13">
        <f>IFERROR(INDEX('Asta Live'!$D$4:$D$403,MATCH(Impostazioni!$B$11&amp;"|"&amp;"D"&amp;"|"&amp;1,'Asta Live'!$J$4:$J$403,0)),"")</f>
        <v/>
      </c>
      <c r="O55" s="12">
        <f>IFERROR(INDEX('Asta Live'!$G$4:$G$403,MATCH(Impostazioni!$B$11&amp;"|"&amp;"D"&amp;"|"&amp;1,'Asta Live'!$J$4:$J$403,0)),"")</f>
        <v/>
      </c>
    </row>
    <row r="56">
      <c r="A56" s="12">
        <f>IFERROR(INDEX('Asta Live'!$A$4:$A$403,MATCH(Impostazioni!$B$8&amp;"|"&amp;"D"&amp;"|"&amp;2,'Asta Live'!$J$4:$J$403,0)),"")</f>
        <v/>
      </c>
      <c r="B56" s="13">
        <f>IFERROR(INDEX('Asta Live'!$D$4:$D$403,MATCH(Impostazioni!$B$8&amp;"|"&amp;"D"&amp;"|"&amp;2,'Asta Live'!$J$4:$J$403,0)),"")</f>
        <v/>
      </c>
      <c r="C56" s="12">
        <f>IFERROR(INDEX('Asta Live'!$G$4:$G$403,MATCH(Impostazioni!$B$8&amp;"|"&amp;"D"&amp;"|"&amp;2,'Asta Live'!$J$4:$J$403,0)),"")</f>
        <v/>
      </c>
      <c r="E56" s="12">
        <f>IFERROR(INDEX('Asta Live'!$A$4:$A$403,MATCH(Impostazioni!$B$9&amp;"|"&amp;"D"&amp;"|"&amp;2,'Asta Live'!$J$4:$J$403,0)),"")</f>
        <v/>
      </c>
      <c r="F56" s="13">
        <f>IFERROR(INDEX('Asta Live'!$D$4:$D$403,MATCH(Impostazioni!$B$9&amp;"|"&amp;"D"&amp;"|"&amp;2,'Asta Live'!$J$4:$J$403,0)),"")</f>
        <v/>
      </c>
      <c r="G56" s="12">
        <f>IFERROR(INDEX('Asta Live'!$G$4:$G$403,MATCH(Impostazioni!$B$9&amp;"|"&amp;"D"&amp;"|"&amp;2,'Asta Live'!$J$4:$J$403,0)),"")</f>
        <v/>
      </c>
      <c r="I56" s="12">
        <f>IFERROR(INDEX('Asta Live'!$A$4:$A$403,MATCH(Impostazioni!$B$10&amp;"|"&amp;"D"&amp;"|"&amp;2,'Asta Live'!$J$4:$J$403,0)),"")</f>
        <v/>
      </c>
      <c r="J56" s="13">
        <f>IFERROR(INDEX('Asta Live'!$D$4:$D$403,MATCH(Impostazioni!$B$10&amp;"|"&amp;"D"&amp;"|"&amp;2,'Asta Live'!$J$4:$J$403,0)),"")</f>
        <v/>
      </c>
      <c r="K56" s="12">
        <f>IFERROR(INDEX('Asta Live'!$G$4:$G$403,MATCH(Impostazioni!$B$10&amp;"|"&amp;"D"&amp;"|"&amp;2,'Asta Live'!$J$4:$J$403,0)),"")</f>
        <v/>
      </c>
      <c r="M56" s="12">
        <f>IFERROR(INDEX('Asta Live'!$A$4:$A$403,MATCH(Impostazioni!$B$11&amp;"|"&amp;"D"&amp;"|"&amp;2,'Asta Live'!$J$4:$J$403,0)),"")</f>
        <v/>
      </c>
      <c r="N56" s="13">
        <f>IFERROR(INDEX('Asta Live'!$D$4:$D$403,MATCH(Impostazioni!$B$11&amp;"|"&amp;"D"&amp;"|"&amp;2,'Asta Live'!$J$4:$J$403,0)),"")</f>
        <v/>
      </c>
      <c r="O56" s="12">
        <f>IFERROR(INDEX('Asta Live'!$G$4:$G$403,MATCH(Impostazioni!$B$11&amp;"|"&amp;"D"&amp;"|"&amp;2,'Asta Live'!$J$4:$J$403,0)),"")</f>
        <v/>
      </c>
    </row>
    <row r="57">
      <c r="A57" s="12">
        <f>IFERROR(INDEX('Asta Live'!$A$4:$A$403,MATCH(Impostazioni!$B$8&amp;"|"&amp;"D"&amp;"|"&amp;3,'Asta Live'!$J$4:$J$403,0)),"")</f>
        <v/>
      </c>
      <c r="B57" s="13">
        <f>IFERROR(INDEX('Asta Live'!$D$4:$D$403,MATCH(Impostazioni!$B$8&amp;"|"&amp;"D"&amp;"|"&amp;3,'Asta Live'!$J$4:$J$403,0)),"")</f>
        <v/>
      </c>
      <c r="C57" s="12">
        <f>IFERROR(INDEX('Asta Live'!$G$4:$G$403,MATCH(Impostazioni!$B$8&amp;"|"&amp;"D"&amp;"|"&amp;3,'Asta Live'!$J$4:$J$403,0)),"")</f>
        <v/>
      </c>
      <c r="E57" s="12">
        <f>IFERROR(INDEX('Asta Live'!$A$4:$A$403,MATCH(Impostazioni!$B$9&amp;"|"&amp;"D"&amp;"|"&amp;3,'Asta Live'!$J$4:$J$403,0)),"")</f>
        <v/>
      </c>
      <c r="F57" s="13">
        <f>IFERROR(INDEX('Asta Live'!$D$4:$D$403,MATCH(Impostazioni!$B$9&amp;"|"&amp;"D"&amp;"|"&amp;3,'Asta Live'!$J$4:$J$403,0)),"")</f>
        <v/>
      </c>
      <c r="G57" s="12">
        <f>IFERROR(INDEX('Asta Live'!$G$4:$G$403,MATCH(Impostazioni!$B$9&amp;"|"&amp;"D"&amp;"|"&amp;3,'Asta Live'!$J$4:$J$403,0)),"")</f>
        <v/>
      </c>
      <c r="I57" s="12">
        <f>IFERROR(INDEX('Asta Live'!$A$4:$A$403,MATCH(Impostazioni!$B$10&amp;"|"&amp;"D"&amp;"|"&amp;3,'Asta Live'!$J$4:$J$403,0)),"")</f>
        <v/>
      </c>
      <c r="J57" s="13">
        <f>IFERROR(INDEX('Asta Live'!$D$4:$D$403,MATCH(Impostazioni!$B$10&amp;"|"&amp;"D"&amp;"|"&amp;3,'Asta Live'!$J$4:$J$403,0)),"")</f>
        <v/>
      </c>
      <c r="K57" s="12">
        <f>IFERROR(INDEX('Asta Live'!$G$4:$G$403,MATCH(Impostazioni!$B$10&amp;"|"&amp;"D"&amp;"|"&amp;3,'Asta Live'!$J$4:$J$403,0)),"")</f>
        <v/>
      </c>
      <c r="M57" s="12">
        <f>IFERROR(INDEX('Asta Live'!$A$4:$A$403,MATCH(Impostazioni!$B$11&amp;"|"&amp;"D"&amp;"|"&amp;3,'Asta Live'!$J$4:$J$403,0)),"")</f>
        <v/>
      </c>
      <c r="N57" s="13">
        <f>IFERROR(INDEX('Asta Live'!$D$4:$D$403,MATCH(Impostazioni!$B$11&amp;"|"&amp;"D"&amp;"|"&amp;3,'Asta Live'!$J$4:$J$403,0)),"")</f>
        <v/>
      </c>
      <c r="O57" s="12">
        <f>IFERROR(INDEX('Asta Live'!$G$4:$G$403,MATCH(Impostazioni!$B$11&amp;"|"&amp;"D"&amp;"|"&amp;3,'Asta Live'!$J$4:$J$403,0)),"")</f>
        <v/>
      </c>
    </row>
    <row r="58">
      <c r="A58" s="12">
        <f>IFERROR(INDEX('Asta Live'!$A$4:$A$403,MATCH(Impostazioni!$B$8&amp;"|"&amp;"D"&amp;"|"&amp;4,'Asta Live'!$J$4:$J$403,0)),"")</f>
        <v/>
      </c>
      <c r="B58" s="13">
        <f>IFERROR(INDEX('Asta Live'!$D$4:$D$403,MATCH(Impostazioni!$B$8&amp;"|"&amp;"D"&amp;"|"&amp;4,'Asta Live'!$J$4:$J$403,0)),"")</f>
        <v/>
      </c>
      <c r="C58" s="12">
        <f>IFERROR(INDEX('Asta Live'!$G$4:$G$403,MATCH(Impostazioni!$B$8&amp;"|"&amp;"D"&amp;"|"&amp;4,'Asta Live'!$J$4:$J$403,0)),"")</f>
        <v/>
      </c>
      <c r="E58" s="12">
        <f>IFERROR(INDEX('Asta Live'!$A$4:$A$403,MATCH(Impostazioni!$B$9&amp;"|"&amp;"D"&amp;"|"&amp;4,'Asta Live'!$J$4:$J$403,0)),"")</f>
        <v/>
      </c>
      <c r="F58" s="13">
        <f>IFERROR(INDEX('Asta Live'!$D$4:$D$403,MATCH(Impostazioni!$B$9&amp;"|"&amp;"D"&amp;"|"&amp;4,'Asta Live'!$J$4:$J$403,0)),"")</f>
        <v/>
      </c>
      <c r="G58" s="12">
        <f>IFERROR(INDEX('Asta Live'!$G$4:$G$403,MATCH(Impostazioni!$B$9&amp;"|"&amp;"D"&amp;"|"&amp;4,'Asta Live'!$J$4:$J$403,0)),"")</f>
        <v/>
      </c>
      <c r="I58" s="12">
        <f>IFERROR(INDEX('Asta Live'!$A$4:$A$403,MATCH(Impostazioni!$B$10&amp;"|"&amp;"D"&amp;"|"&amp;4,'Asta Live'!$J$4:$J$403,0)),"")</f>
        <v/>
      </c>
      <c r="J58" s="13">
        <f>IFERROR(INDEX('Asta Live'!$D$4:$D$403,MATCH(Impostazioni!$B$10&amp;"|"&amp;"D"&amp;"|"&amp;4,'Asta Live'!$J$4:$J$403,0)),"")</f>
        <v/>
      </c>
      <c r="K58" s="12">
        <f>IFERROR(INDEX('Asta Live'!$G$4:$G$403,MATCH(Impostazioni!$B$10&amp;"|"&amp;"D"&amp;"|"&amp;4,'Asta Live'!$J$4:$J$403,0)),"")</f>
        <v/>
      </c>
      <c r="M58" s="12">
        <f>IFERROR(INDEX('Asta Live'!$A$4:$A$403,MATCH(Impostazioni!$B$11&amp;"|"&amp;"D"&amp;"|"&amp;4,'Asta Live'!$J$4:$J$403,0)),"")</f>
        <v/>
      </c>
      <c r="N58" s="13">
        <f>IFERROR(INDEX('Asta Live'!$D$4:$D$403,MATCH(Impostazioni!$B$11&amp;"|"&amp;"D"&amp;"|"&amp;4,'Asta Live'!$J$4:$J$403,0)),"")</f>
        <v/>
      </c>
      <c r="O58" s="12">
        <f>IFERROR(INDEX('Asta Live'!$G$4:$G$403,MATCH(Impostazioni!$B$11&amp;"|"&amp;"D"&amp;"|"&amp;4,'Asta Live'!$J$4:$J$403,0)),"")</f>
        <v/>
      </c>
    </row>
    <row r="59">
      <c r="A59" s="12">
        <f>IFERROR(INDEX('Asta Live'!$A$4:$A$403,MATCH(Impostazioni!$B$8&amp;"|"&amp;"D"&amp;"|"&amp;5,'Asta Live'!$J$4:$J$403,0)),"")</f>
        <v/>
      </c>
      <c r="B59" s="13">
        <f>IFERROR(INDEX('Asta Live'!$D$4:$D$403,MATCH(Impostazioni!$B$8&amp;"|"&amp;"D"&amp;"|"&amp;5,'Asta Live'!$J$4:$J$403,0)),"")</f>
        <v/>
      </c>
      <c r="C59" s="12">
        <f>IFERROR(INDEX('Asta Live'!$G$4:$G$403,MATCH(Impostazioni!$B$8&amp;"|"&amp;"D"&amp;"|"&amp;5,'Asta Live'!$J$4:$J$403,0)),"")</f>
        <v/>
      </c>
      <c r="E59" s="12">
        <f>IFERROR(INDEX('Asta Live'!$A$4:$A$403,MATCH(Impostazioni!$B$9&amp;"|"&amp;"D"&amp;"|"&amp;5,'Asta Live'!$J$4:$J$403,0)),"")</f>
        <v/>
      </c>
      <c r="F59" s="13">
        <f>IFERROR(INDEX('Asta Live'!$D$4:$D$403,MATCH(Impostazioni!$B$9&amp;"|"&amp;"D"&amp;"|"&amp;5,'Asta Live'!$J$4:$J$403,0)),"")</f>
        <v/>
      </c>
      <c r="G59" s="12">
        <f>IFERROR(INDEX('Asta Live'!$G$4:$G$403,MATCH(Impostazioni!$B$9&amp;"|"&amp;"D"&amp;"|"&amp;5,'Asta Live'!$J$4:$J$403,0)),"")</f>
        <v/>
      </c>
      <c r="I59" s="12">
        <f>IFERROR(INDEX('Asta Live'!$A$4:$A$403,MATCH(Impostazioni!$B$10&amp;"|"&amp;"D"&amp;"|"&amp;5,'Asta Live'!$J$4:$J$403,0)),"")</f>
        <v/>
      </c>
      <c r="J59" s="13">
        <f>IFERROR(INDEX('Asta Live'!$D$4:$D$403,MATCH(Impostazioni!$B$10&amp;"|"&amp;"D"&amp;"|"&amp;5,'Asta Live'!$J$4:$J$403,0)),"")</f>
        <v/>
      </c>
      <c r="K59" s="12">
        <f>IFERROR(INDEX('Asta Live'!$G$4:$G$403,MATCH(Impostazioni!$B$10&amp;"|"&amp;"D"&amp;"|"&amp;5,'Asta Live'!$J$4:$J$403,0)),"")</f>
        <v/>
      </c>
      <c r="M59" s="12">
        <f>IFERROR(INDEX('Asta Live'!$A$4:$A$403,MATCH(Impostazioni!$B$11&amp;"|"&amp;"D"&amp;"|"&amp;5,'Asta Live'!$J$4:$J$403,0)),"")</f>
        <v/>
      </c>
      <c r="N59" s="13">
        <f>IFERROR(INDEX('Asta Live'!$D$4:$D$403,MATCH(Impostazioni!$B$11&amp;"|"&amp;"D"&amp;"|"&amp;5,'Asta Live'!$J$4:$J$403,0)),"")</f>
        <v/>
      </c>
      <c r="O59" s="12">
        <f>IFERROR(INDEX('Asta Live'!$G$4:$G$403,MATCH(Impostazioni!$B$11&amp;"|"&amp;"D"&amp;"|"&amp;5,'Asta Live'!$J$4:$J$403,0)),"")</f>
        <v/>
      </c>
    </row>
    <row r="60">
      <c r="A60" s="12">
        <f>IFERROR(INDEX('Asta Live'!$A$4:$A$403,MATCH(Impostazioni!$B$8&amp;"|"&amp;"D"&amp;"|"&amp;6,'Asta Live'!$J$4:$J$403,0)),"")</f>
        <v/>
      </c>
      <c r="B60" s="13">
        <f>IFERROR(INDEX('Asta Live'!$D$4:$D$403,MATCH(Impostazioni!$B$8&amp;"|"&amp;"D"&amp;"|"&amp;6,'Asta Live'!$J$4:$J$403,0)),"")</f>
        <v/>
      </c>
      <c r="C60" s="12">
        <f>IFERROR(INDEX('Asta Live'!$G$4:$G$403,MATCH(Impostazioni!$B$8&amp;"|"&amp;"D"&amp;"|"&amp;6,'Asta Live'!$J$4:$J$403,0)),"")</f>
        <v/>
      </c>
      <c r="E60" s="12">
        <f>IFERROR(INDEX('Asta Live'!$A$4:$A$403,MATCH(Impostazioni!$B$9&amp;"|"&amp;"D"&amp;"|"&amp;6,'Asta Live'!$J$4:$J$403,0)),"")</f>
        <v/>
      </c>
      <c r="F60" s="13">
        <f>IFERROR(INDEX('Asta Live'!$D$4:$D$403,MATCH(Impostazioni!$B$9&amp;"|"&amp;"D"&amp;"|"&amp;6,'Asta Live'!$J$4:$J$403,0)),"")</f>
        <v/>
      </c>
      <c r="G60" s="12">
        <f>IFERROR(INDEX('Asta Live'!$G$4:$G$403,MATCH(Impostazioni!$B$9&amp;"|"&amp;"D"&amp;"|"&amp;6,'Asta Live'!$J$4:$J$403,0)),"")</f>
        <v/>
      </c>
      <c r="I60" s="12">
        <f>IFERROR(INDEX('Asta Live'!$A$4:$A$403,MATCH(Impostazioni!$B$10&amp;"|"&amp;"D"&amp;"|"&amp;6,'Asta Live'!$J$4:$J$403,0)),"")</f>
        <v/>
      </c>
      <c r="J60" s="13">
        <f>IFERROR(INDEX('Asta Live'!$D$4:$D$403,MATCH(Impostazioni!$B$10&amp;"|"&amp;"D"&amp;"|"&amp;6,'Asta Live'!$J$4:$J$403,0)),"")</f>
        <v/>
      </c>
      <c r="K60" s="12">
        <f>IFERROR(INDEX('Asta Live'!$G$4:$G$403,MATCH(Impostazioni!$B$10&amp;"|"&amp;"D"&amp;"|"&amp;6,'Asta Live'!$J$4:$J$403,0)),"")</f>
        <v/>
      </c>
      <c r="M60" s="12">
        <f>IFERROR(INDEX('Asta Live'!$A$4:$A$403,MATCH(Impostazioni!$B$11&amp;"|"&amp;"D"&amp;"|"&amp;6,'Asta Live'!$J$4:$J$403,0)),"")</f>
        <v/>
      </c>
      <c r="N60" s="13">
        <f>IFERROR(INDEX('Asta Live'!$D$4:$D$403,MATCH(Impostazioni!$B$11&amp;"|"&amp;"D"&amp;"|"&amp;6,'Asta Live'!$J$4:$J$403,0)),"")</f>
        <v/>
      </c>
      <c r="O60" s="12">
        <f>IFERROR(INDEX('Asta Live'!$G$4:$G$403,MATCH(Impostazioni!$B$11&amp;"|"&amp;"D"&amp;"|"&amp;6,'Asta Live'!$J$4:$J$403,0)),"")</f>
        <v/>
      </c>
    </row>
    <row r="61">
      <c r="A61" s="12">
        <f>IFERROR(INDEX('Asta Live'!$A$4:$A$403,MATCH(Impostazioni!$B$8&amp;"|"&amp;"D"&amp;"|"&amp;7,'Asta Live'!$J$4:$J$403,0)),"")</f>
        <v/>
      </c>
      <c r="B61" s="13">
        <f>IFERROR(INDEX('Asta Live'!$D$4:$D$403,MATCH(Impostazioni!$B$8&amp;"|"&amp;"D"&amp;"|"&amp;7,'Asta Live'!$J$4:$J$403,0)),"")</f>
        <v/>
      </c>
      <c r="C61" s="12">
        <f>IFERROR(INDEX('Asta Live'!$G$4:$G$403,MATCH(Impostazioni!$B$8&amp;"|"&amp;"D"&amp;"|"&amp;7,'Asta Live'!$J$4:$J$403,0)),"")</f>
        <v/>
      </c>
      <c r="E61" s="12">
        <f>IFERROR(INDEX('Asta Live'!$A$4:$A$403,MATCH(Impostazioni!$B$9&amp;"|"&amp;"D"&amp;"|"&amp;7,'Asta Live'!$J$4:$J$403,0)),"")</f>
        <v/>
      </c>
      <c r="F61" s="13">
        <f>IFERROR(INDEX('Asta Live'!$D$4:$D$403,MATCH(Impostazioni!$B$9&amp;"|"&amp;"D"&amp;"|"&amp;7,'Asta Live'!$J$4:$J$403,0)),"")</f>
        <v/>
      </c>
      <c r="G61" s="12">
        <f>IFERROR(INDEX('Asta Live'!$G$4:$G$403,MATCH(Impostazioni!$B$9&amp;"|"&amp;"D"&amp;"|"&amp;7,'Asta Live'!$J$4:$J$403,0)),"")</f>
        <v/>
      </c>
      <c r="I61" s="12">
        <f>IFERROR(INDEX('Asta Live'!$A$4:$A$403,MATCH(Impostazioni!$B$10&amp;"|"&amp;"D"&amp;"|"&amp;7,'Asta Live'!$J$4:$J$403,0)),"")</f>
        <v/>
      </c>
      <c r="J61" s="13">
        <f>IFERROR(INDEX('Asta Live'!$D$4:$D$403,MATCH(Impostazioni!$B$10&amp;"|"&amp;"D"&amp;"|"&amp;7,'Asta Live'!$J$4:$J$403,0)),"")</f>
        <v/>
      </c>
      <c r="K61" s="12">
        <f>IFERROR(INDEX('Asta Live'!$G$4:$G$403,MATCH(Impostazioni!$B$10&amp;"|"&amp;"D"&amp;"|"&amp;7,'Asta Live'!$J$4:$J$403,0)),"")</f>
        <v/>
      </c>
      <c r="M61" s="12">
        <f>IFERROR(INDEX('Asta Live'!$A$4:$A$403,MATCH(Impostazioni!$B$11&amp;"|"&amp;"D"&amp;"|"&amp;7,'Asta Live'!$J$4:$J$403,0)),"")</f>
        <v/>
      </c>
      <c r="N61" s="13">
        <f>IFERROR(INDEX('Asta Live'!$D$4:$D$403,MATCH(Impostazioni!$B$11&amp;"|"&amp;"D"&amp;"|"&amp;7,'Asta Live'!$J$4:$J$403,0)),"")</f>
        <v/>
      </c>
      <c r="O61" s="12">
        <f>IFERROR(INDEX('Asta Live'!$G$4:$G$403,MATCH(Impostazioni!$B$11&amp;"|"&amp;"D"&amp;"|"&amp;7,'Asta Live'!$J$4:$J$403,0)),"")</f>
        <v/>
      </c>
    </row>
    <row r="62">
      <c r="A62" s="12">
        <f>IFERROR(INDEX('Asta Live'!$A$4:$A$403,MATCH(Impostazioni!$B$8&amp;"|"&amp;"D"&amp;"|"&amp;8,'Asta Live'!$J$4:$J$403,0)),"")</f>
        <v/>
      </c>
      <c r="B62" s="13">
        <f>IFERROR(INDEX('Asta Live'!$D$4:$D$403,MATCH(Impostazioni!$B$8&amp;"|"&amp;"D"&amp;"|"&amp;8,'Asta Live'!$J$4:$J$403,0)),"")</f>
        <v/>
      </c>
      <c r="C62" s="12">
        <f>IFERROR(INDEX('Asta Live'!$G$4:$G$403,MATCH(Impostazioni!$B$8&amp;"|"&amp;"D"&amp;"|"&amp;8,'Asta Live'!$J$4:$J$403,0)),"")</f>
        <v/>
      </c>
      <c r="E62" s="12">
        <f>IFERROR(INDEX('Asta Live'!$A$4:$A$403,MATCH(Impostazioni!$B$9&amp;"|"&amp;"D"&amp;"|"&amp;8,'Asta Live'!$J$4:$J$403,0)),"")</f>
        <v/>
      </c>
      <c r="F62" s="13">
        <f>IFERROR(INDEX('Asta Live'!$D$4:$D$403,MATCH(Impostazioni!$B$9&amp;"|"&amp;"D"&amp;"|"&amp;8,'Asta Live'!$J$4:$J$403,0)),"")</f>
        <v/>
      </c>
      <c r="G62" s="12">
        <f>IFERROR(INDEX('Asta Live'!$G$4:$G$403,MATCH(Impostazioni!$B$9&amp;"|"&amp;"D"&amp;"|"&amp;8,'Asta Live'!$J$4:$J$403,0)),"")</f>
        <v/>
      </c>
      <c r="I62" s="12">
        <f>IFERROR(INDEX('Asta Live'!$A$4:$A$403,MATCH(Impostazioni!$B$10&amp;"|"&amp;"D"&amp;"|"&amp;8,'Asta Live'!$J$4:$J$403,0)),"")</f>
        <v/>
      </c>
      <c r="J62" s="13">
        <f>IFERROR(INDEX('Asta Live'!$D$4:$D$403,MATCH(Impostazioni!$B$10&amp;"|"&amp;"D"&amp;"|"&amp;8,'Asta Live'!$J$4:$J$403,0)),"")</f>
        <v/>
      </c>
      <c r="K62" s="12">
        <f>IFERROR(INDEX('Asta Live'!$G$4:$G$403,MATCH(Impostazioni!$B$10&amp;"|"&amp;"D"&amp;"|"&amp;8,'Asta Live'!$J$4:$J$403,0)),"")</f>
        <v/>
      </c>
      <c r="M62" s="12">
        <f>IFERROR(INDEX('Asta Live'!$A$4:$A$403,MATCH(Impostazioni!$B$11&amp;"|"&amp;"D"&amp;"|"&amp;8,'Asta Live'!$J$4:$J$403,0)),"")</f>
        <v/>
      </c>
      <c r="N62" s="13">
        <f>IFERROR(INDEX('Asta Live'!$D$4:$D$403,MATCH(Impostazioni!$B$11&amp;"|"&amp;"D"&amp;"|"&amp;8,'Asta Live'!$J$4:$J$403,0)),"")</f>
        <v/>
      </c>
      <c r="O62" s="12">
        <f>IFERROR(INDEX('Asta Live'!$G$4:$G$403,MATCH(Impostazioni!$B$11&amp;"|"&amp;"D"&amp;"|"&amp;8,'Asta Live'!$J$4:$J$403,0)),"")</f>
        <v/>
      </c>
    </row>
    <row r="63">
      <c r="A63" s="12">
        <f>IFERROR(INDEX('Asta Live'!$A$4:$A$403,MATCH(Impostazioni!$B$8&amp;"|"&amp;"D"&amp;"|"&amp;9,'Asta Live'!$J$4:$J$403,0)),"")</f>
        <v/>
      </c>
      <c r="B63" s="13">
        <f>IFERROR(INDEX('Asta Live'!$D$4:$D$403,MATCH(Impostazioni!$B$8&amp;"|"&amp;"D"&amp;"|"&amp;9,'Asta Live'!$J$4:$J$403,0)),"")</f>
        <v/>
      </c>
      <c r="C63" s="12">
        <f>IFERROR(INDEX('Asta Live'!$G$4:$G$403,MATCH(Impostazioni!$B$8&amp;"|"&amp;"D"&amp;"|"&amp;9,'Asta Live'!$J$4:$J$403,0)),"")</f>
        <v/>
      </c>
      <c r="E63" s="12">
        <f>IFERROR(INDEX('Asta Live'!$A$4:$A$403,MATCH(Impostazioni!$B$9&amp;"|"&amp;"D"&amp;"|"&amp;9,'Asta Live'!$J$4:$J$403,0)),"")</f>
        <v/>
      </c>
      <c r="F63" s="13">
        <f>IFERROR(INDEX('Asta Live'!$D$4:$D$403,MATCH(Impostazioni!$B$9&amp;"|"&amp;"D"&amp;"|"&amp;9,'Asta Live'!$J$4:$J$403,0)),"")</f>
        <v/>
      </c>
      <c r="G63" s="12">
        <f>IFERROR(INDEX('Asta Live'!$G$4:$G$403,MATCH(Impostazioni!$B$9&amp;"|"&amp;"D"&amp;"|"&amp;9,'Asta Live'!$J$4:$J$403,0)),"")</f>
        <v/>
      </c>
      <c r="I63" s="12">
        <f>IFERROR(INDEX('Asta Live'!$A$4:$A$403,MATCH(Impostazioni!$B$10&amp;"|"&amp;"D"&amp;"|"&amp;9,'Asta Live'!$J$4:$J$403,0)),"")</f>
        <v/>
      </c>
      <c r="J63" s="13">
        <f>IFERROR(INDEX('Asta Live'!$D$4:$D$403,MATCH(Impostazioni!$B$10&amp;"|"&amp;"D"&amp;"|"&amp;9,'Asta Live'!$J$4:$J$403,0)),"")</f>
        <v/>
      </c>
      <c r="K63" s="12">
        <f>IFERROR(INDEX('Asta Live'!$G$4:$G$403,MATCH(Impostazioni!$B$10&amp;"|"&amp;"D"&amp;"|"&amp;9,'Asta Live'!$J$4:$J$403,0)),"")</f>
        <v/>
      </c>
      <c r="M63" s="12">
        <f>IFERROR(INDEX('Asta Live'!$A$4:$A$403,MATCH(Impostazioni!$B$11&amp;"|"&amp;"D"&amp;"|"&amp;9,'Asta Live'!$J$4:$J$403,0)),"")</f>
        <v/>
      </c>
      <c r="N63" s="13">
        <f>IFERROR(INDEX('Asta Live'!$D$4:$D$403,MATCH(Impostazioni!$B$11&amp;"|"&amp;"D"&amp;"|"&amp;9,'Asta Live'!$J$4:$J$403,0)),"")</f>
        <v/>
      </c>
      <c r="O63" s="12">
        <f>IFERROR(INDEX('Asta Live'!$G$4:$G$403,MATCH(Impostazioni!$B$11&amp;"|"&amp;"D"&amp;"|"&amp;9,'Asta Live'!$J$4:$J$403,0)),"")</f>
        <v/>
      </c>
    </row>
    <row r="64">
      <c r="A64" s="12">
        <f>IFERROR(INDEX('Asta Live'!$A$4:$A$403,MATCH(Impostazioni!$B$8&amp;"|"&amp;"D"&amp;"|"&amp;10,'Asta Live'!$J$4:$J$403,0)),"")</f>
        <v/>
      </c>
      <c r="B64" s="13">
        <f>IFERROR(INDEX('Asta Live'!$D$4:$D$403,MATCH(Impostazioni!$B$8&amp;"|"&amp;"D"&amp;"|"&amp;10,'Asta Live'!$J$4:$J$403,0)),"")</f>
        <v/>
      </c>
      <c r="C64" s="12">
        <f>IFERROR(INDEX('Asta Live'!$G$4:$G$403,MATCH(Impostazioni!$B$8&amp;"|"&amp;"D"&amp;"|"&amp;10,'Asta Live'!$J$4:$J$403,0)),"")</f>
        <v/>
      </c>
      <c r="E64" s="12">
        <f>IFERROR(INDEX('Asta Live'!$A$4:$A$403,MATCH(Impostazioni!$B$9&amp;"|"&amp;"D"&amp;"|"&amp;10,'Asta Live'!$J$4:$J$403,0)),"")</f>
        <v/>
      </c>
      <c r="F64" s="13">
        <f>IFERROR(INDEX('Asta Live'!$D$4:$D$403,MATCH(Impostazioni!$B$9&amp;"|"&amp;"D"&amp;"|"&amp;10,'Asta Live'!$J$4:$J$403,0)),"")</f>
        <v/>
      </c>
      <c r="G64" s="12">
        <f>IFERROR(INDEX('Asta Live'!$G$4:$G$403,MATCH(Impostazioni!$B$9&amp;"|"&amp;"D"&amp;"|"&amp;10,'Asta Live'!$J$4:$J$403,0)),"")</f>
        <v/>
      </c>
      <c r="I64" s="12">
        <f>IFERROR(INDEX('Asta Live'!$A$4:$A$403,MATCH(Impostazioni!$B$10&amp;"|"&amp;"D"&amp;"|"&amp;10,'Asta Live'!$J$4:$J$403,0)),"")</f>
        <v/>
      </c>
      <c r="J64" s="13">
        <f>IFERROR(INDEX('Asta Live'!$D$4:$D$403,MATCH(Impostazioni!$B$10&amp;"|"&amp;"D"&amp;"|"&amp;10,'Asta Live'!$J$4:$J$403,0)),"")</f>
        <v/>
      </c>
      <c r="K64" s="12">
        <f>IFERROR(INDEX('Asta Live'!$G$4:$G$403,MATCH(Impostazioni!$B$10&amp;"|"&amp;"D"&amp;"|"&amp;10,'Asta Live'!$J$4:$J$403,0)),"")</f>
        <v/>
      </c>
      <c r="M64" s="12">
        <f>IFERROR(INDEX('Asta Live'!$A$4:$A$403,MATCH(Impostazioni!$B$11&amp;"|"&amp;"D"&amp;"|"&amp;10,'Asta Live'!$J$4:$J$403,0)),"")</f>
        <v/>
      </c>
      <c r="N64" s="13">
        <f>IFERROR(INDEX('Asta Live'!$D$4:$D$403,MATCH(Impostazioni!$B$11&amp;"|"&amp;"D"&amp;"|"&amp;10,'Asta Live'!$J$4:$J$403,0)),"")</f>
        <v/>
      </c>
      <c r="O64" s="12">
        <f>IFERROR(INDEX('Asta Live'!$G$4:$G$403,MATCH(Impostazioni!$B$11&amp;"|"&amp;"D"&amp;"|"&amp;10,'Asta Live'!$J$4:$J$403,0)),"")</f>
        <v/>
      </c>
    </row>
    <row r="65">
      <c r="A65" s="12">
        <f>IFERROR(INDEX('Asta Live'!$A$4:$A$403,MATCH(Impostazioni!$B$8&amp;"|"&amp;"D"&amp;"|"&amp;11,'Asta Live'!$J$4:$J$403,0)),"")</f>
        <v/>
      </c>
      <c r="B65" s="13">
        <f>IFERROR(INDEX('Asta Live'!$D$4:$D$403,MATCH(Impostazioni!$B$8&amp;"|"&amp;"D"&amp;"|"&amp;11,'Asta Live'!$J$4:$J$403,0)),"")</f>
        <v/>
      </c>
      <c r="C65" s="12">
        <f>IFERROR(INDEX('Asta Live'!$G$4:$G$403,MATCH(Impostazioni!$B$8&amp;"|"&amp;"D"&amp;"|"&amp;11,'Asta Live'!$J$4:$J$403,0)),"")</f>
        <v/>
      </c>
      <c r="E65" s="12">
        <f>IFERROR(INDEX('Asta Live'!$A$4:$A$403,MATCH(Impostazioni!$B$9&amp;"|"&amp;"D"&amp;"|"&amp;11,'Asta Live'!$J$4:$J$403,0)),"")</f>
        <v/>
      </c>
      <c r="F65" s="13">
        <f>IFERROR(INDEX('Asta Live'!$D$4:$D$403,MATCH(Impostazioni!$B$9&amp;"|"&amp;"D"&amp;"|"&amp;11,'Asta Live'!$J$4:$J$403,0)),"")</f>
        <v/>
      </c>
      <c r="G65" s="12">
        <f>IFERROR(INDEX('Asta Live'!$G$4:$G$403,MATCH(Impostazioni!$B$9&amp;"|"&amp;"D"&amp;"|"&amp;11,'Asta Live'!$J$4:$J$403,0)),"")</f>
        <v/>
      </c>
      <c r="I65" s="12">
        <f>IFERROR(INDEX('Asta Live'!$A$4:$A$403,MATCH(Impostazioni!$B$10&amp;"|"&amp;"D"&amp;"|"&amp;11,'Asta Live'!$J$4:$J$403,0)),"")</f>
        <v/>
      </c>
      <c r="J65" s="13">
        <f>IFERROR(INDEX('Asta Live'!$D$4:$D$403,MATCH(Impostazioni!$B$10&amp;"|"&amp;"D"&amp;"|"&amp;11,'Asta Live'!$J$4:$J$403,0)),"")</f>
        <v/>
      </c>
      <c r="K65" s="12">
        <f>IFERROR(INDEX('Asta Live'!$G$4:$G$403,MATCH(Impostazioni!$B$10&amp;"|"&amp;"D"&amp;"|"&amp;11,'Asta Live'!$J$4:$J$403,0)),"")</f>
        <v/>
      </c>
      <c r="M65" s="12">
        <f>IFERROR(INDEX('Asta Live'!$A$4:$A$403,MATCH(Impostazioni!$B$11&amp;"|"&amp;"D"&amp;"|"&amp;11,'Asta Live'!$J$4:$J$403,0)),"")</f>
        <v/>
      </c>
      <c r="N65" s="13">
        <f>IFERROR(INDEX('Asta Live'!$D$4:$D$403,MATCH(Impostazioni!$B$11&amp;"|"&amp;"D"&amp;"|"&amp;11,'Asta Live'!$J$4:$J$403,0)),"")</f>
        <v/>
      </c>
      <c r="O65" s="12">
        <f>IFERROR(INDEX('Asta Live'!$G$4:$G$403,MATCH(Impostazioni!$B$11&amp;"|"&amp;"D"&amp;"|"&amp;11,'Asta Live'!$J$4:$J$403,0)),"")</f>
        <v/>
      </c>
    </row>
    <row r="66">
      <c r="A66" s="14" t="inlineStr">
        <is>
          <t>Totale Difensori</t>
        </is>
      </c>
      <c r="B66" s="15" t="n"/>
      <c r="C66" s="14">
        <f>SUM(C55:C65)</f>
        <v/>
      </c>
      <c r="E66" s="14" t="inlineStr">
        <is>
          <t>Totale Difensori</t>
        </is>
      </c>
      <c r="F66" s="15" t="n"/>
      <c r="G66" s="14">
        <f>SUM(G55:G65)</f>
        <v/>
      </c>
      <c r="I66" s="14" t="inlineStr">
        <is>
          <t>Totale Difensori</t>
        </is>
      </c>
      <c r="J66" s="15" t="n"/>
      <c r="K66" s="14">
        <f>SUM(K55:K65)</f>
        <v/>
      </c>
      <c r="M66" s="14" t="inlineStr">
        <is>
          <t>Totale Difensori</t>
        </is>
      </c>
      <c r="N66" s="15" t="n"/>
      <c r="O66" s="14">
        <f>SUM(O55:O65)</f>
        <v/>
      </c>
    </row>
    <row r="67">
      <c r="A67" s="17" t="inlineStr">
        <is>
          <t>CENTROCAMPISTI</t>
        </is>
      </c>
      <c r="E67" s="17" t="inlineStr">
        <is>
          <t>CENTROCAMPISTI</t>
        </is>
      </c>
      <c r="I67" s="17" t="inlineStr">
        <is>
          <t>CENTROCAMPISTI</t>
        </is>
      </c>
      <c r="M67" s="17" t="inlineStr">
        <is>
          <t>CENTROCAMPISTI</t>
        </is>
      </c>
    </row>
    <row r="68">
      <c r="A68" s="12">
        <f>IFERROR(INDEX('Asta Live'!$A$4:$A$403,MATCH(Impostazioni!$B$8&amp;"|"&amp;"C"&amp;"|"&amp;1,'Asta Live'!$J$4:$J$403,0)),"")</f>
        <v/>
      </c>
      <c r="B68" s="13">
        <f>IFERROR(INDEX('Asta Live'!$D$4:$D$403,MATCH(Impostazioni!$B$8&amp;"|"&amp;"C"&amp;"|"&amp;1,'Asta Live'!$J$4:$J$403,0)),"")</f>
        <v/>
      </c>
      <c r="C68" s="12">
        <f>IFERROR(INDEX('Asta Live'!$G$4:$G$403,MATCH(Impostazioni!$B$8&amp;"|"&amp;"C"&amp;"|"&amp;1,'Asta Live'!$J$4:$J$403,0)),"")</f>
        <v/>
      </c>
      <c r="E68" s="12">
        <f>IFERROR(INDEX('Asta Live'!$A$4:$A$403,MATCH(Impostazioni!$B$9&amp;"|"&amp;"C"&amp;"|"&amp;1,'Asta Live'!$J$4:$J$403,0)),"")</f>
        <v/>
      </c>
      <c r="F68" s="13">
        <f>IFERROR(INDEX('Asta Live'!$D$4:$D$403,MATCH(Impostazioni!$B$9&amp;"|"&amp;"C"&amp;"|"&amp;1,'Asta Live'!$J$4:$J$403,0)),"")</f>
        <v/>
      </c>
      <c r="G68" s="12">
        <f>IFERROR(INDEX('Asta Live'!$G$4:$G$403,MATCH(Impostazioni!$B$9&amp;"|"&amp;"C"&amp;"|"&amp;1,'Asta Live'!$J$4:$J$403,0)),"")</f>
        <v/>
      </c>
      <c r="I68" s="12">
        <f>IFERROR(INDEX('Asta Live'!$A$4:$A$403,MATCH(Impostazioni!$B$10&amp;"|"&amp;"C"&amp;"|"&amp;1,'Asta Live'!$J$4:$J$403,0)),"")</f>
        <v/>
      </c>
      <c r="J68" s="13">
        <f>IFERROR(INDEX('Asta Live'!$D$4:$D$403,MATCH(Impostazioni!$B$10&amp;"|"&amp;"C"&amp;"|"&amp;1,'Asta Live'!$J$4:$J$403,0)),"")</f>
        <v/>
      </c>
      <c r="K68" s="12">
        <f>IFERROR(INDEX('Asta Live'!$G$4:$G$403,MATCH(Impostazioni!$B$10&amp;"|"&amp;"C"&amp;"|"&amp;1,'Asta Live'!$J$4:$J$403,0)),"")</f>
        <v/>
      </c>
      <c r="M68" s="12">
        <f>IFERROR(INDEX('Asta Live'!$A$4:$A$403,MATCH(Impostazioni!$B$11&amp;"|"&amp;"C"&amp;"|"&amp;1,'Asta Live'!$J$4:$J$403,0)),"")</f>
        <v/>
      </c>
      <c r="N68" s="13">
        <f>IFERROR(INDEX('Asta Live'!$D$4:$D$403,MATCH(Impostazioni!$B$11&amp;"|"&amp;"C"&amp;"|"&amp;1,'Asta Live'!$J$4:$J$403,0)),"")</f>
        <v/>
      </c>
      <c r="O68" s="12">
        <f>IFERROR(INDEX('Asta Live'!$G$4:$G$403,MATCH(Impostazioni!$B$11&amp;"|"&amp;"C"&amp;"|"&amp;1,'Asta Live'!$J$4:$J$403,0)),"")</f>
        <v/>
      </c>
    </row>
    <row r="69">
      <c r="A69" s="12">
        <f>IFERROR(INDEX('Asta Live'!$A$4:$A$403,MATCH(Impostazioni!$B$8&amp;"|"&amp;"C"&amp;"|"&amp;2,'Asta Live'!$J$4:$J$403,0)),"")</f>
        <v/>
      </c>
      <c r="B69" s="13">
        <f>IFERROR(INDEX('Asta Live'!$D$4:$D$403,MATCH(Impostazioni!$B$8&amp;"|"&amp;"C"&amp;"|"&amp;2,'Asta Live'!$J$4:$J$403,0)),"")</f>
        <v/>
      </c>
      <c r="C69" s="12">
        <f>IFERROR(INDEX('Asta Live'!$G$4:$G$403,MATCH(Impostazioni!$B$8&amp;"|"&amp;"C"&amp;"|"&amp;2,'Asta Live'!$J$4:$J$403,0)),"")</f>
        <v/>
      </c>
      <c r="E69" s="12">
        <f>IFERROR(INDEX('Asta Live'!$A$4:$A$403,MATCH(Impostazioni!$B$9&amp;"|"&amp;"C"&amp;"|"&amp;2,'Asta Live'!$J$4:$J$403,0)),"")</f>
        <v/>
      </c>
      <c r="F69" s="13">
        <f>IFERROR(INDEX('Asta Live'!$D$4:$D$403,MATCH(Impostazioni!$B$9&amp;"|"&amp;"C"&amp;"|"&amp;2,'Asta Live'!$J$4:$J$403,0)),"")</f>
        <v/>
      </c>
      <c r="G69" s="12">
        <f>IFERROR(INDEX('Asta Live'!$G$4:$G$403,MATCH(Impostazioni!$B$9&amp;"|"&amp;"C"&amp;"|"&amp;2,'Asta Live'!$J$4:$J$403,0)),"")</f>
        <v/>
      </c>
      <c r="I69" s="12">
        <f>IFERROR(INDEX('Asta Live'!$A$4:$A$403,MATCH(Impostazioni!$B$10&amp;"|"&amp;"C"&amp;"|"&amp;2,'Asta Live'!$J$4:$J$403,0)),"")</f>
        <v/>
      </c>
      <c r="J69" s="13">
        <f>IFERROR(INDEX('Asta Live'!$D$4:$D$403,MATCH(Impostazioni!$B$10&amp;"|"&amp;"C"&amp;"|"&amp;2,'Asta Live'!$J$4:$J$403,0)),"")</f>
        <v/>
      </c>
      <c r="K69" s="12">
        <f>IFERROR(INDEX('Asta Live'!$G$4:$G$403,MATCH(Impostazioni!$B$10&amp;"|"&amp;"C"&amp;"|"&amp;2,'Asta Live'!$J$4:$J$403,0)),"")</f>
        <v/>
      </c>
      <c r="M69" s="12">
        <f>IFERROR(INDEX('Asta Live'!$A$4:$A$403,MATCH(Impostazioni!$B$11&amp;"|"&amp;"C"&amp;"|"&amp;2,'Asta Live'!$J$4:$J$403,0)),"")</f>
        <v/>
      </c>
      <c r="N69" s="13">
        <f>IFERROR(INDEX('Asta Live'!$D$4:$D$403,MATCH(Impostazioni!$B$11&amp;"|"&amp;"C"&amp;"|"&amp;2,'Asta Live'!$J$4:$J$403,0)),"")</f>
        <v/>
      </c>
      <c r="O69" s="12">
        <f>IFERROR(INDEX('Asta Live'!$G$4:$G$403,MATCH(Impostazioni!$B$11&amp;"|"&amp;"C"&amp;"|"&amp;2,'Asta Live'!$J$4:$J$403,0)),"")</f>
        <v/>
      </c>
    </row>
    <row r="70">
      <c r="A70" s="12">
        <f>IFERROR(INDEX('Asta Live'!$A$4:$A$403,MATCH(Impostazioni!$B$8&amp;"|"&amp;"C"&amp;"|"&amp;3,'Asta Live'!$J$4:$J$403,0)),"")</f>
        <v/>
      </c>
      <c r="B70" s="13">
        <f>IFERROR(INDEX('Asta Live'!$D$4:$D$403,MATCH(Impostazioni!$B$8&amp;"|"&amp;"C"&amp;"|"&amp;3,'Asta Live'!$J$4:$J$403,0)),"")</f>
        <v/>
      </c>
      <c r="C70" s="12">
        <f>IFERROR(INDEX('Asta Live'!$G$4:$G$403,MATCH(Impostazioni!$B$8&amp;"|"&amp;"C"&amp;"|"&amp;3,'Asta Live'!$J$4:$J$403,0)),"")</f>
        <v/>
      </c>
      <c r="E70" s="12">
        <f>IFERROR(INDEX('Asta Live'!$A$4:$A$403,MATCH(Impostazioni!$B$9&amp;"|"&amp;"C"&amp;"|"&amp;3,'Asta Live'!$J$4:$J$403,0)),"")</f>
        <v/>
      </c>
      <c r="F70" s="13">
        <f>IFERROR(INDEX('Asta Live'!$D$4:$D$403,MATCH(Impostazioni!$B$9&amp;"|"&amp;"C"&amp;"|"&amp;3,'Asta Live'!$J$4:$J$403,0)),"")</f>
        <v/>
      </c>
      <c r="G70" s="12">
        <f>IFERROR(INDEX('Asta Live'!$G$4:$G$403,MATCH(Impostazioni!$B$9&amp;"|"&amp;"C"&amp;"|"&amp;3,'Asta Live'!$J$4:$J$403,0)),"")</f>
        <v/>
      </c>
      <c r="I70" s="12">
        <f>IFERROR(INDEX('Asta Live'!$A$4:$A$403,MATCH(Impostazioni!$B$10&amp;"|"&amp;"C"&amp;"|"&amp;3,'Asta Live'!$J$4:$J$403,0)),"")</f>
        <v/>
      </c>
      <c r="J70" s="13">
        <f>IFERROR(INDEX('Asta Live'!$D$4:$D$403,MATCH(Impostazioni!$B$10&amp;"|"&amp;"C"&amp;"|"&amp;3,'Asta Live'!$J$4:$J$403,0)),"")</f>
        <v/>
      </c>
      <c r="K70" s="12">
        <f>IFERROR(INDEX('Asta Live'!$G$4:$G$403,MATCH(Impostazioni!$B$10&amp;"|"&amp;"C"&amp;"|"&amp;3,'Asta Live'!$J$4:$J$403,0)),"")</f>
        <v/>
      </c>
      <c r="M70" s="12">
        <f>IFERROR(INDEX('Asta Live'!$A$4:$A$403,MATCH(Impostazioni!$B$11&amp;"|"&amp;"C"&amp;"|"&amp;3,'Asta Live'!$J$4:$J$403,0)),"")</f>
        <v/>
      </c>
      <c r="N70" s="13">
        <f>IFERROR(INDEX('Asta Live'!$D$4:$D$403,MATCH(Impostazioni!$B$11&amp;"|"&amp;"C"&amp;"|"&amp;3,'Asta Live'!$J$4:$J$403,0)),"")</f>
        <v/>
      </c>
      <c r="O70" s="12">
        <f>IFERROR(INDEX('Asta Live'!$G$4:$G$403,MATCH(Impostazioni!$B$11&amp;"|"&amp;"C"&amp;"|"&amp;3,'Asta Live'!$J$4:$J$403,0)),"")</f>
        <v/>
      </c>
    </row>
    <row r="71">
      <c r="A71" s="12">
        <f>IFERROR(INDEX('Asta Live'!$A$4:$A$403,MATCH(Impostazioni!$B$8&amp;"|"&amp;"C"&amp;"|"&amp;4,'Asta Live'!$J$4:$J$403,0)),"")</f>
        <v/>
      </c>
      <c r="B71" s="13">
        <f>IFERROR(INDEX('Asta Live'!$D$4:$D$403,MATCH(Impostazioni!$B$8&amp;"|"&amp;"C"&amp;"|"&amp;4,'Asta Live'!$J$4:$J$403,0)),"")</f>
        <v/>
      </c>
      <c r="C71" s="12">
        <f>IFERROR(INDEX('Asta Live'!$G$4:$G$403,MATCH(Impostazioni!$B$8&amp;"|"&amp;"C"&amp;"|"&amp;4,'Asta Live'!$J$4:$J$403,0)),"")</f>
        <v/>
      </c>
      <c r="E71" s="12">
        <f>IFERROR(INDEX('Asta Live'!$A$4:$A$403,MATCH(Impostazioni!$B$9&amp;"|"&amp;"C"&amp;"|"&amp;4,'Asta Live'!$J$4:$J$403,0)),"")</f>
        <v/>
      </c>
      <c r="F71" s="13">
        <f>IFERROR(INDEX('Asta Live'!$D$4:$D$403,MATCH(Impostazioni!$B$9&amp;"|"&amp;"C"&amp;"|"&amp;4,'Asta Live'!$J$4:$J$403,0)),"")</f>
        <v/>
      </c>
      <c r="G71" s="12">
        <f>IFERROR(INDEX('Asta Live'!$G$4:$G$403,MATCH(Impostazioni!$B$9&amp;"|"&amp;"C"&amp;"|"&amp;4,'Asta Live'!$J$4:$J$403,0)),"")</f>
        <v/>
      </c>
      <c r="I71" s="12">
        <f>IFERROR(INDEX('Asta Live'!$A$4:$A$403,MATCH(Impostazioni!$B$10&amp;"|"&amp;"C"&amp;"|"&amp;4,'Asta Live'!$J$4:$J$403,0)),"")</f>
        <v/>
      </c>
      <c r="J71" s="13">
        <f>IFERROR(INDEX('Asta Live'!$D$4:$D$403,MATCH(Impostazioni!$B$10&amp;"|"&amp;"C"&amp;"|"&amp;4,'Asta Live'!$J$4:$J$403,0)),"")</f>
        <v/>
      </c>
      <c r="K71" s="12">
        <f>IFERROR(INDEX('Asta Live'!$G$4:$G$403,MATCH(Impostazioni!$B$10&amp;"|"&amp;"C"&amp;"|"&amp;4,'Asta Live'!$J$4:$J$403,0)),"")</f>
        <v/>
      </c>
      <c r="M71" s="12">
        <f>IFERROR(INDEX('Asta Live'!$A$4:$A$403,MATCH(Impostazioni!$B$11&amp;"|"&amp;"C"&amp;"|"&amp;4,'Asta Live'!$J$4:$J$403,0)),"")</f>
        <v/>
      </c>
      <c r="N71" s="13">
        <f>IFERROR(INDEX('Asta Live'!$D$4:$D$403,MATCH(Impostazioni!$B$11&amp;"|"&amp;"C"&amp;"|"&amp;4,'Asta Live'!$J$4:$J$403,0)),"")</f>
        <v/>
      </c>
      <c r="O71" s="12">
        <f>IFERROR(INDEX('Asta Live'!$G$4:$G$403,MATCH(Impostazioni!$B$11&amp;"|"&amp;"C"&amp;"|"&amp;4,'Asta Live'!$J$4:$J$403,0)),"")</f>
        <v/>
      </c>
    </row>
    <row r="72">
      <c r="A72" s="12">
        <f>IFERROR(INDEX('Asta Live'!$A$4:$A$403,MATCH(Impostazioni!$B$8&amp;"|"&amp;"C"&amp;"|"&amp;5,'Asta Live'!$J$4:$J$403,0)),"")</f>
        <v/>
      </c>
      <c r="B72" s="13">
        <f>IFERROR(INDEX('Asta Live'!$D$4:$D$403,MATCH(Impostazioni!$B$8&amp;"|"&amp;"C"&amp;"|"&amp;5,'Asta Live'!$J$4:$J$403,0)),"")</f>
        <v/>
      </c>
      <c r="C72" s="12">
        <f>IFERROR(INDEX('Asta Live'!$G$4:$G$403,MATCH(Impostazioni!$B$8&amp;"|"&amp;"C"&amp;"|"&amp;5,'Asta Live'!$J$4:$J$403,0)),"")</f>
        <v/>
      </c>
      <c r="E72" s="12">
        <f>IFERROR(INDEX('Asta Live'!$A$4:$A$403,MATCH(Impostazioni!$B$9&amp;"|"&amp;"C"&amp;"|"&amp;5,'Asta Live'!$J$4:$J$403,0)),"")</f>
        <v/>
      </c>
      <c r="F72" s="13">
        <f>IFERROR(INDEX('Asta Live'!$D$4:$D$403,MATCH(Impostazioni!$B$9&amp;"|"&amp;"C"&amp;"|"&amp;5,'Asta Live'!$J$4:$J$403,0)),"")</f>
        <v/>
      </c>
      <c r="G72" s="12">
        <f>IFERROR(INDEX('Asta Live'!$G$4:$G$403,MATCH(Impostazioni!$B$9&amp;"|"&amp;"C"&amp;"|"&amp;5,'Asta Live'!$J$4:$J$403,0)),"")</f>
        <v/>
      </c>
      <c r="I72" s="12">
        <f>IFERROR(INDEX('Asta Live'!$A$4:$A$403,MATCH(Impostazioni!$B$10&amp;"|"&amp;"C"&amp;"|"&amp;5,'Asta Live'!$J$4:$J$403,0)),"")</f>
        <v/>
      </c>
      <c r="J72" s="13">
        <f>IFERROR(INDEX('Asta Live'!$D$4:$D$403,MATCH(Impostazioni!$B$10&amp;"|"&amp;"C"&amp;"|"&amp;5,'Asta Live'!$J$4:$J$403,0)),"")</f>
        <v/>
      </c>
      <c r="K72" s="12">
        <f>IFERROR(INDEX('Asta Live'!$G$4:$G$403,MATCH(Impostazioni!$B$10&amp;"|"&amp;"C"&amp;"|"&amp;5,'Asta Live'!$J$4:$J$403,0)),"")</f>
        <v/>
      </c>
      <c r="M72" s="12">
        <f>IFERROR(INDEX('Asta Live'!$A$4:$A$403,MATCH(Impostazioni!$B$11&amp;"|"&amp;"C"&amp;"|"&amp;5,'Asta Live'!$J$4:$J$403,0)),"")</f>
        <v/>
      </c>
      <c r="N72" s="13">
        <f>IFERROR(INDEX('Asta Live'!$D$4:$D$403,MATCH(Impostazioni!$B$11&amp;"|"&amp;"C"&amp;"|"&amp;5,'Asta Live'!$J$4:$J$403,0)),"")</f>
        <v/>
      </c>
      <c r="O72" s="12">
        <f>IFERROR(INDEX('Asta Live'!$G$4:$G$403,MATCH(Impostazioni!$B$11&amp;"|"&amp;"C"&amp;"|"&amp;5,'Asta Live'!$J$4:$J$403,0)),"")</f>
        <v/>
      </c>
    </row>
    <row r="73">
      <c r="A73" s="12">
        <f>IFERROR(INDEX('Asta Live'!$A$4:$A$403,MATCH(Impostazioni!$B$8&amp;"|"&amp;"C"&amp;"|"&amp;6,'Asta Live'!$J$4:$J$403,0)),"")</f>
        <v/>
      </c>
      <c r="B73" s="13">
        <f>IFERROR(INDEX('Asta Live'!$D$4:$D$403,MATCH(Impostazioni!$B$8&amp;"|"&amp;"C"&amp;"|"&amp;6,'Asta Live'!$J$4:$J$403,0)),"")</f>
        <v/>
      </c>
      <c r="C73" s="12">
        <f>IFERROR(INDEX('Asta Live'!$G$4:$G$403,MATCH(Impostazioni!$B$8&amp;"|"&amp;"C"&amp;"|"&amp;6,'Asta Live'!$J$4:$J$403,0)),"")</f>
        <v/>
      </c>
      <c r="E73" s="12">
        <f>IFERROR(INDEX('Asta Live'!$A$4:$A$403,MATCH(Impostazioni!$B$9&amp;"|"&amp;"C"&amp;"|"&amp;6,'Asta Live'!$J$4:$J$403,0)),"")</f>
        <v/>
      </c>
      <c r="F73" s="13">
        <f>IFERROR(INDEX('Asta Live'!$D$4:$D$403,MATCH(Impostazioni!$B$9&amp;"|"&amp;"C"&amp;"|"&amp;6,'Asta Live'!$J$4:$J$403,0)),"")</f>
        <v/>
      </c>
      <c r="G73" s="12">
        <f>IFERROR(INDEX('Asta Live'!$G$4:$G$403,MATCH(Impostazioni!$B$9&amp;"|"&amp;"C"&amp;"|"&amp;6,'Asta Live'!$J$4:$J$403,0)),"")</f>
        <v/>
      </c>
      <c r="I73" s="12">
        <f>IFERROR(INDEX('Asta Live'!$A$4:$A$403,MATCH(Impostazioni!$B$10&amp;"|"&amp;"C"&amp;"|"&amp;6,'Asta Live'!$J$4:$J$403,0)),"")</f>
        <v/>
      </c>
      <c r="J73" s="13">
        <f>IFERROR(INDEX('Asta Live'!$D$4:$D$403,MATCH(Impostazioni!$B$10&amp;"|"&amp;"C"&amp;"|"&amp;6,'Asta Live'!$J$4:$J$403,0)),"")</f>
        <v/>
      </c>
      <c r="K73" s="12">
        <f>IFERROR(INDEX('Asta Live'!$G$4:$G$403,MATCH(Impostazioni!$B$10&amp;"|"&amp;"C"&amp;"|"&amp;6,'Asta Live'!$J$4:$J$403,0)),"")</f>
        <v/>
      </c>
      <c r="M73" s="12">
        <f>IFERROR(INDEX('Asta Live'!$A$4:$A$403,MATCH(Impostazioni!$B$11&amp;"|"&amp;"C"&amp;"|"&amp;6,'Asta Live'!$J$4:$J$403,0)),"")</f>
        <v/>
      </c>
      <c r="N73" s="13">
        <f>IFERROR(INDEX('Asta Live'!$D$4:$D$403,MATCH(Impostazioni!$B$11&amp;"|"&amp;"C"&amp;"|"&amp;6,'Asta Live'!$J$4:$J$403,0)),"")</f>
        <v/>
      </c>
      <c r="O73" s="12">
        <f>IFERROR(INDEX('Asta Live'!$G$4:$G$403,MATCH(Impostazioni!$B$11&amp;"|"&amp;"C"&amp;"|"&amp;6,'Asta Live'!$J$4:$J$403,0)),"")</f>
        <v/>
      </c>
    </row>
    <row r="74">
      <c r="A74" s="12">
        <f>IFERROR(INDEX('Asta Live'!$A$4:$A$403,MATCH(Impostazioni!$B$8&amp;"|"&amp;"C"&amp;"|"&amp;7,'Asta Live'!$J$4:$J$403,0)),"")</f>
        <v/>
      </c>
      <c r="B74" s="13">
        <f>IFERROR(INDEX('Asta Live'!$D$4:$D$403,MATCH(Impostazioni!$B$8&amp;"|"&amp;"C"&amp;"|"&amp;7,'Asta Live'!$J$4:$J$403,0)),"")</f>
        <v/>
      </c>
      <c r="C74" s="12">
        <f>IFERROR(INDEX('Asta Live'!$G$4:$G$403,MATCH(Impostazioni!$B$8&amp;"|"&amp;"C"&amp;"|"&amp;7,'Asta Live'!$J$4:$J$403,0)),"")</f>
        <v/>
      </c>
      <c r="E74" s="12">
        <f>IFERROR(INDEX('Asta Live'!$A$4:$A$403,MATCH(Impostazioni!$B$9&amp;"|"&amp;"C"&amp;"|"&amp;7,'Asta Live'!$J$4:$J$403,0)),"")</f>
        <v/>
      </c>
      <c r="F74" s="13">
        <f>IFERROR(INDEX('Asta Live'!$D$4:$D$403,MATCH(Impostazioni!$B$9&amp;"|"&amp;"C"&amp;"|"&amp;7,'Asta Live'!$J$4:$J$403,0)),"")</f>
        <v/>
      </c>
      <c r="G74" s="12">
        <f>IFERROR(INDEX('Asta Live'!$G$4:$G$403,MATCH(Impostazioni!$B$9&amp;"|"&amp;"C"&amp;"|"&amp;7,'Asta Live'!$J$4:$J$403,0)),"")</f>
        <v/>
      </c>
      <c r="I74" s="12">
        <f>IFERROR(INDEX('Asta Live'!$A$4:$A$403,MATCH(Impostazioni!$B$10&amp;"|"&amp;"C"&amp;"|"&amp;7,'Asta Live'!$J$4:$J$403,0)),"")</f>
        <v/>
      </c>
      <c r="J74" s="13">
        <f>IFERROR(INDEX('Asta Live'!$D$4:$D$403,MATCH(Impostazioni!$B$10&amp;"|"&amp;"C"&amp;"|"&amp;7,'Asta Live'!$J$4:$J$403,0)),"")</f>
        <v/>
      </c>
      <c r="K74" s="12">
        <f>IFERROR(INDEX('Asta Live'!$G$4:$G$403,MATCH(Impostazioni!$B$10&amp;"|"&amp;"C"&amp;"|"&amp;7,'Asta Live'!$J$4:$J$403,0)),"")</f>
        <v/>
      </c>
      <c r="M74" s="12">
        <f>IFERROR(INDEX('Asta Live'!$A$4:$A$403,MATCH(Impostazioni!$B$11&amp;"|"&amp;"C"&amp;"|"&amp;7,'Asta Live'!$J$4:$J$403,0)),"")</f>
        <v/>
      </c>
      <c r="N74" s="13">
        <f>IFERROR(INDEX('Asta Live'!$D$4:$D$403,MATCH(Impostazioni!$B$11&amp;"|"&amp;"C"&amp;"|"&amp;7,'Asta Live'!$J$4:$J$403,0)),"")</f>
        <v/>
      </c>
      <c r="O74" s="12">
        <f>IFERROR(INDEX('Asta Live'!$G$4:$G$403,MATCH(Impostazioni!$B$11&amp;"|"&amp;"C"&amp;"|"&amp;7,'Asta Live'!$J$4:$J$403,0)),"")</f>
        <v/>
      </c>
    </row>
    <row r="75">
      <c r="A75" s="12">
        <f>IFERROR(INDEX('Asta Live'!$A$4:$A$403,MATCH(Impostazioni!$B$8&amp;"|"&amp;"C"&amp;"|"&amp;8,'Asta Live'!$J$4:$J$403,0)),"")</f>
        <v/>
      </c>
      <c r="B75" s="13">
        <f>IFERROR(INDEX('Asta Live'!$D$4:$D$403,MATCH(Impostazioni!$B$8&amp;"|"&amp;"C"&amp;"|"&amp;8,'Asta Live'!$J$4:$J$403,0)),"")</f>
        <v/>
      </c>
      <c r="C75" s="12">
        <f>IFERROR(INDEX('Asta Live'!$G$4:$G$403,MATCH(Impostazioni!$B$8&amp;"|"&amp;"C"&amp;"|"&amp;8,'Asta Live'!$J$4:$J$403,0)),"")</f>
        <v/>
      </c>
      <c r="E75" s="12">
        <f>IFERROR(INDEX('Asta Live'!$A$4:$A$403,MATCH(Impostazioni!$B$9&amp;"|"&amp;"C"&amp;"|"&amp;8,'Asta Live'!$J$4:$J$403,0)),"")</f>
        <v/>
      </c>
      <c r="F75" s="13">
        <f>IFERROR(INDEX('Asta Live'!$D$4:$D$403,MATCH(Impostazioni!$B$9&amp;"|"&amp;"C"&amp;"|"&amp;8,'Asta Live'!$J$4:$J$403,0)),"")</f>
        <v/>
      </c>
      <c r="G75" s="12">
        <f>IFERROR(INDEX('Asta Live'!$G$4:$G$403,MATCH(Impostazioni!$B$9&amp;"|"&amp;"C"&amp;"|"&amp;8,'Asta Live'!$J$4:$J$403,0)),"")</f>
        <v/>
      </c>
      <c r="I75" s="12">
        <f>IFERROR(INDEX('Asta Live'!$A$4:$A$403,MATCH(Impostazioni!$B$10&amp;"|"&amp;"C"&amp;"|"&amp;8,'Asta Live'!$J$4:$J$403,0)),"")</f>
        <v/>
      </c>
      <c r="J75" s="13">
        <f>IFERROR(INDEX('Asta Live'!$D$4:$D$403,MATCH(Impostazioni!$B$10&amp;"|"&amp;"C"&amp;"|"&amp;8,'Asta Live'!$J$4:$J$403,0)),"")</f>
        <v/>
      </c>
      <c r="K75" s="12">
        <f>IFERROR(INDEX('Asta Live'!$G$4:$G$403,MATCH(Impostazioni!$B$10&amp;"|"&amp;"C"&amp;"|"&amp;8,'Asta Live'!$J$4:$J$403,0)),"")</f>
        <v/>
      </c>
      <c r="M75" s="12">
        <f>IFERROR(INDEX('Asta Live'!$A$4:$A$403,MATCH(Impostazioni!$B$11&amp;"|"&amp;"C"&amp;"|"&amp;8,'Asta Live'!$J$4:$J$403,0)),"")</f>
        <v/>
      </c>
      <c r="N75" s="13">
        <f>IFERROR(INDEX('Asta Live'!$D$4:$D$403,MATCH(Impostazioni!$B$11&amp;"|"&amp;"C"&amp;"|"&amp;8,'Asta Live'!$J$4:$J$403,0)),"")</f>
        <v/>
      </c>
      <c r="O75" s="12">
        <f>IFERROR(INDEX('Asta Live'!$G$4:$G$403,MATCH(Impostazioni!$B$11&amp;"|"&amp;"C"&amp;"|"&amp;8,'Asta Live'!$J$4:$J$403,0)),"")</f>
        <v/>
      </c>
    </row>
    <row r="76">
      <c r="A76" s="14" t="inlineStr">
        <is>
          <t>Totale Centrocampisti</t>
        </is>
      </c>
      <c r="B76" s="15" t="n"/>
      <c r="C76" s="14">
        <f>SUM(C68:C75)</f>
        <v/>
      </c>
      <c r="E76" s="14" t="inlineStr">
        <is>
          <t>Totale Centrocampisti</t>
        </is>
      </c>
      <c r="F76" s="15" t="n"/>
      <c r="G76" s="14">
        <f>SUM(G68:G75)</f>
        <v/>
      </c>
      <c r="I76" s="14" t="inlineStr">
        <is>
          <t>Totale Centrocampisti</t>
        </is>
      </c>
      <c r="J76" s="15" t="n"/>
      <c r="K76" s="14">
        <f>SUM(K68:K75)</f>
        <v/>
      </c>
      <c r="M76" s="14" t="inlineStr">
        <is>
          <t>Totale Centrocampisti</t>
        </is>
      </c>
      <c r="N76" s="15" t="n"/>
      <c r="O76" s="14">
        <f>SUM(O68:O75)</f>
        <v/>
      </c>
    </row>
    <row r="77">
      <c r="A77" s="18" t="inlineStr">
        <is>
          <t>ATTACCANTI</t>
        </is>
      </c>
      <c r="E77" s="18" t="inlineStr">
        <is>
          <t>ATTACCANTI</t>
        </is>
      </c>
      <c r="I77" s="18" t="inlineStr">
        <is>
          <t>ATTACCANTI</t>
        </is>
      </c>
      <c r="M77" s="18" t="inlineStr">
        <is>
          <t>ATTACCANTI</t>
        </is>
      </c>
    </row>
    <row r="78">
      <c r="A78" s="12">
        <f>IFERROR(INDEX('Asta Live'!$A$4:$A$403,MATCH(Impostazioni!$B$8&amp;"|"&amp;"A"&amp;"|"&amp;1,'Asta Live'!$J$4:$J$403,0)),"")</f>
        <v/>
      </c>
      <c r="B78" s="13">
        <f>IFERROR(INDEX('Asta Live'!$D$4:$D$403,MATCH(Impostazioni!$B$8&amp;"|"&amp;"A"&amp;"|"&amp;1,'Asta Live'!$J$4:$J$403,0)),"")</f>
        <v/>
      </c>
      <c r="C78" s="12">
        <f>IFERROR(INDEX('Asta Live'!$G$4:$G$403,MATCH(Impostazioni!$B$8&amp;"|"&amp;"A"&amp;"|"&amp;1,'Asta Live'!$J$4:$J$403,0)),"")</f>
        <v/>
      </c>
      <c r="E78" s="12">
        <f>IFERROR(INDEX('Asta Live'!$A$4:$A$403,MATCH(Impostazioni!$B$9&amp;"|"&amp;"A"&amp;"|"&amp;1,'Asta Live'!$J$4:$J$403,0)),"")</f>
        <v/>
      </c>
      <c r="F78" s="13">
        <f>IFERROR(INDEX('Asta Live'!$D$4:$D$403,MATCH(Impostazioni!$B$9&amp;"|"&amp;"A"&amp;"|"&amp;1,'Asta Live'!$J$4:$J$403,0)),"")</f>
        <v/>
      </c>
      <c r="G78" s="12">
        <f>IFERROR(INDEX('Asta Live'!$G$4:$G$403,MATCH(Impostazioni!$B$9&amp;"|"&amp;"A"&amp;"|"&amp;1,'Asta Live'!$J$4:$J$403,0)),"")</f>
        <v/>
      </c>
      <c r="I78" s="12">
        <f>IFERROR(INDEX('Asta Live'!$A$4:$A$403,MATCH(Impostazioni!$B$10&amp;"|"&amp;"A"&amp;"|"&amp;1,'Asta Live'!$J$4:$J$403,0)),"")</f>
        <v/>
      </c>
      <c r="J78" s="13">
        <f>IFERROR(INDEX('Asta Live'!$D$4:$D$403,MATCH(Impostazioni!$B$10&amp;"|"&amp;"A"&amp;"|"&amp;1,'Asta Live'!$J$4:$J$403,0)),"")</f>
        <v/>
      </c>
      <c r="K78" s="12">
        <f>IFERROR(INDEX('Asta Live'!$G$4:$G$403,MATCH(Impostazioni!$B$10&amp;"|"&amp;"A"&amp;"|"&amp;1,'Asta Live'!$J$4:$J$403,0)),"")</f>
        <v/>
      </c>
      <c r="M78" s="12">
        <f>IFERROR(INDEX('Asta Live'!$A$4:$A$403,MATCH(Impostazioni!$B$11&amp;"|"&amp;"A"&amp;"|"&amp;1,'Asta Live'!$J$4:$J$403,0)),"")</f>
        <v/>
      </c>
      <c r="N78" s="13">
        <f>IFERROR(INDEX('Asta Live'!$D$4:$D$403,MATCH(Impostazioni!$B$11&amp;"|"&amp;"A"&amp;"|"&amp;1,'Asta Live'!$J$4:$J$403,0)),"")</f>
        <v/>
      </c>
      <c r="O78" s="12">
        <f>IFERROR(INDEX('Asta Live'!$G$4:$G$403,MATCH(Impostazioni!$B$11&amp;"|"&amp;"A"&amp;"|"&amp;1,'Asta Live'!$J$4:$J$403,0)),"")</f>
        <v/>
      </c>
    </row>
    <row r="79">
      <c r="A79" s="12">
        <f>IFERROR(INDEX('Asta Live'!$A$4:$A$403,MATCH(Impostazioni!$B$8&amp;"|"&amp;"A"&amp;"|"&amp;2,'Asta Live'!$J$4:$J$403,0)),"")</f>
        <v/>
      </c>
      <c r="B79" s="13">
        <f>IFERROR(INDEX('Asta Live'!$D$4:$D$403,MATCH(Impostazioni!$B$8&amp;"|"&amp;"A"&amp;"|"&amp;2,'Asta Live'!$J$4:$J$403,0)),"")</f>
        <v/>
      </c>
      <c r="C79" s="12">
        <f>IFERROR(INDEX('Asta Live'!$G$4:$G$403,MATCH(Impostazioni!$B$8&amp;"|"&amp;"A"&amp;"|"&amp;2,'Asta Live'!$J$4:$J$403,0)),"")</f>
        <v/>
      </c>
      <c r="E79" s="12">
        <f>IFERROR(INDEX('Asta Live'!$A$4:$A$403,MATCH(Impostazioni!$B$9&amp;"|"&amp;"A"&amp;"|"&amp;2,'Asta Live'!$J$4:$J$403,0)),"")</f>
        <v/>
      </c>
      <c r="F79" s="13">
        <f>IFERROR(INDEX('Asta Live'!$D$4:$D$403,MATCH(Impostazioni!$B$9&amp;"|"&amp;"A"&amp;"|"&amp;2,'Asta Live'!$J$4:$J$403,0)),"")</f>
        <v/>
      </c>
      <c r="G79" s="12">
        <f>IFERROR(INDEX('Asta Live'!$G$4:$G$403,MATCH(Impostazioni!$B$9&amp;"|"&amp;"A"&amp;"|"&amp;2,'Asta Live'!$J$4:$J$403,0)),"")</f>
        <v/>
      </c>
      <c r="I79" s="12">
        <f>IFERROR(INDEX('Asta Live'!$A$4:$A$403,MATCH(Impostazioni!$B$10&amp;"|"&amp;"A"&amp;"|"&amp;2,'Asta Live'!$J$4:$J$403,0)),"")</f>
        <v/>
      </c>
      <c r="J79" s="13">
        <f>IFERROR(INDEX('Asta Live'!$D$4:$D$403,MATCH(Impostazioni!$B$10&amp;"|"&amp;"A"&amp;"|"&amp;2,'Asta Live'!$J$4:$J$403,0)),"")</f>
        <v/>
      </c>
      <c r="K79" s="12">
        <f>IFERROR(INDEX('Asta Live'!$G$4:$G$403,MATCH(Impostazioni!$B$10&amp;"|"&amp;"A"&amp;"|"&amp;2,'Asta Live'!$J$4:$J$403,0)),"")</f>
        <v/>
      </c>
      <c r="M79" s="12">
        <f>IFERROR(INDEX('Asta Live'!$A$4:$A$403,MATCH(Impostazioni!$B$11&amp;"|"&amp;"A"&amp;"|"&amp;2,'Asta Live'!$J$4:$J$403,0)),"")</f>
        <v/>
      </c>
      <c r="N79" s="13">
        <f>IFERROR(INDEX('Asta Live'!$D$4:$D$403,MATCH(Impostazioni!$B$11&amp;"|"&amp;"A"&amp;"|"&amp;2,'Asta Live'!$J$4:$J$403,0)),"")</f>
        <v/>
      </c>
      <c r="O79" s="12">
        <f>IFERROR(INDEX('Asta Live'!$G$4:$G$403,MATCH(Impostazioni!$B$11&amp;"|"&amp;"A"&amp;"|"&amp;2,'Asta Live'!$J$4:$J$403,0)),"")</f>
        <v/>
      </c>
    </row>
    <row r="80">
      <c r="A80" s="12">
        <f>IFERROR(INDEX('Asta Live'!$A$4:$A$403,MATCH(Impostazioni!$B$8&amp;"|"&amp;"A"&amp;"|"&amp;3,'Asta Live'!$J$4:$J$403,0)),"")</f>
        <v/>
      </c>
      <c r="B80" s="13">
        <f>IFERROR(INDEX('Asta Live'!$D$4:$D$403,MATCH(Impostazioni!$B$8&amp;"|"&amp;"A"&amp;"|"&amp;3,'Asta Live'!$J$4:$J$403,0)),"")</f>
        <v/>
      </c>
      <c r="C80" s="12">
        <f>IFERROR(INDEX('Asta Live'!$G$4:$G$403,MATCH(Impostazioni!$B$8&amp;"|"&amp;"A"&amp;"|"&amp;3,'Asta Live'!$J$4:$J$403,0)),"")</f>
        <v/>
      </c>
      <c r="E80" s="12">
        <f>IFERROR(INDEX('Asta Live'!$A$4:$A$403,MATCH(Impostazioni!$B$9&amp;"|"&amp;"A"&amp;"|"&amp;3,'Asta Live'!$J$4:$J$403,0)),"")</f>
        <v/>
      </c>
      <c r="F80" s="13">
        <f>IFERROR(INDEX('Asta Live'!$D$4:$D$403,MATCH(Impostazioni!$B$9&amp;"|"&amp;"A"&amp;"|"&amp;3,'Asta Live'!$J$4:$J$403,0)),"")</f>
        <v/>
      </c>
      <c r="G80" s="12">
        <f>IFERROR(INDEX('Asta Live'!$G$4:$G$403,MATCH(Impostazioni!$B$9&amp;"|"&amp;"A"&amp;"|"&amp;3,'Asta Live'!$J$4:$J$403,0)),"")</f>
        <v/>
      </c>
      <c r="I80" s="12">
        <f>IFERROR(INDEX('Asta Live'!$A$4:$A$403,MATCH(Impostazioni!$B$10&amp;"|"&amp;"A"&amp;"|"&amp;3,'Asta Live'!$J$4:$J$403,0)),"")</f>
        <v/>
      </c>
      <c r="J80" s="13">
        <f>IFERROR(INDEX('Asta Live'!$D$4:$D$403,MATCH(Impostazioni!$B$10&amp;"|"&amp;"A"&amp;"|"&amp;3,'Asta Live'!$J$4:$J$403,0)),"")</f>
        <v/>
      </c>
      <c r="K80" s="12">
        <f>IFERROR(INDEX('Asta Live'!$G$4:$G$403,MATCH(Impostazioni!$B$10&amp;"|"&amp;"A"&amp;"|"&amp;3,'Asta Live'!$J$4:$J$403,0)),"")</f>
        <v/>
      </c>
      <c r="M80" s="12">
        <f>IFERROR(INDEX('Asta Live'!$A$4:$A$403,MATCH(Impostazioni!$B$11&amp;"|"&amp;"A"&amp;"|"&amp;3,'Asta Live'!$J$4:$J$403,0)),"")</f>
        <v/>
      </c>
      <c r="N80" s="13">
        <f>IFERROR(INDEX('Asta Live'!$D$4:$D$403,MATCH(Impostazioni!$B$11&amp;"|"&amp;"A"&amp;"|"&amp;3,'Asta Live'!$J$4:$J$403,0)),"")</f>
        <v/>
      </c>
      <c r="O80" s="12">
        <f>IFERROR(INDEX('Asta Live'!$G$4:$G$403,MATCH(Impostazioni!$B$11&amp;"|"&amp;"A"&amp;"|"&amp;3,'Asta Live'!$J$4:$J$403,0)),"")</f>
        <v/>
      </c>
    </row>
    <row r="81">
      <c r="A81" s="12">
        <f>IFERROR(INDEX('Asta Live'!$A$4:$A$403,MATCH(Impostazioni!$B$8&amp;"|"&amp;"A"&amp;"|"&amp;4,'Asta Live'!$J$4:$J$403,0)),"")</f>
        <v/>
      </c>
      <c r="B81" s="13">
        <f>IFERROR(INDEX('Asta Live'!$D$4:$D$403,MATCH(Impostazioni!$B$8&amp;"|"&amp;"A"&amp;"|"&amp;4,'Asta Live'!$J$4:$J$403,0)),"")</f>
        <v/>
      </c>
      <c r="C81" s="12">
        <f>IFERROR(INDEX('Asta Live'!$G$4:$G$403,MATCH(Impostazioni!$B$8&amp;"|"&amp;"A"&amp;"|"&amp;4,'Asta Live'!$J$4:$J$403,0)),"")</f>
        <v/>
      </c>
      <c r="E81" s="12">
        <f>IFERROR(INDEX('Asta Live'!$A$4:$A$403,MATCH(Impostazioni!$B$9&amp;"|"&amp;"A"&amp;"|"&amp;4,'Asta Live'!$J$4:$J$403,0)),"")</f>
        <v/>
      </c>
      <c r="F81" s="13">
        <f>IFERROR(INDEX('Asta Live'!$D$4:$D$403,MATCH(Impostazioni!$B$9&amp;"|"&amp;"A"&amp;"|"&amp;4,'Asta Live'!$J$4:$J$403,0)),"")</f>
        <v/>
      </c>
      <c r="G81" s="12">
        <f>IFERROR(INDEX('Asta Live'!$G$4:$G$403,MATCH(Impostazioni!$B$9&amp;"|"&amp;"A"&amp;"|"&amp;4,'Asta Live'!$J$4:$J$403,0)),"")</f>
        <v/>
      </c>
      <c r="I81" s="12">
        <f>IFERROR(INDEX('Asta Live'!$A$4:$A$403,MATCH(Impostazioni!$B$10&amp;"|"&amp;"A"&amp;"|"&amp;4,'Asta Live'!$J$4:$J$403,0)),"")</f>
        <v/>
      </c>
      <c r="J81" s="13">
        <f>IFERROR(INDEX('Asta Live'!$D$4:$D$403,MATCH(Impostazioni!$B$10&amp;"|"&amp;"A"&amp;"|"&amp;4,'Asta Live'!$J$4:$J$403,0)),"")</f>
        <v/>
      </c>
      <c r="K81" s="12">
        <f>IFERROR(INDEX('Asta Live'!$G$4:$G$403,MATCH(Impostazioni!$B$10&amp;"|"&amp;"A"&amp;"|"&amp;4,'Asta Live'!$J$4:$J$403,0)),"")</f>
        <v/>
      </c>
      <c r="M81" s="12">
        <f>IFERROR(INDEX('Asta Live'!$A$4:$A$403,MATCH(Impostazioni!$B$11&amp;"|"&amp;"A"&amp;"|"&amp;4,'Asta Live'!$J$4:$J$403,0)),"")</f>
        <v/>
      </c>
      <c r="N81" s="13">
        <f>IFERROR(INDEX('Asta Live'!$D$4:$D$403,MATCH(Impostazioni!$B$11&amp;"|"&amp;"A"&amp;"|"&amp;4,'Asta Live'!$J$4:$J$403,0)),"")</f>
        <v/>
      </c>
      <c r="O81" s="12">
        <f>IFERROR(INDEX('Asta Live'!$G$4:$G$403,MATCH(Impostazioni!$B$11&amp;"|"&amp;"A"&amp;"|"&amp;4,'Asta Live'!$J$4:$J$403,0)),"")</f>
        <v/>
      </c>
    </row>
    <row r="82">
      <c r="A82" s="12">
        <f>IFERROR(INDEX('Asta Live'!$A$4:$A$403,MATCH(Impostazioni!$B$8&amp;"|"&amp;"A"&amp;"|"&amp;5,'Asta Live'!$J$4:$J$403,0)),"")</f>
        <v/>
      </c>
      <c r="B82" s="13">
        <f>IFERROR(INDEX('Asta Live'!$D$4:$D$403,MATCH(Impostazioni!$B$8&amp;"|"&amp;"A"&amp;"|"&amp;5,'Asta Live'!$J$4:$J$403,0)),"")</f>
        <v/>
      </c>
      <c r="C82" s="12">
        <f>IFERROR(INDEX('Asta Live'!$G$4:$G$403,MATCH(Impostazioni!$B$8&amp;"|"&amp;"A"&amp;"|"&amp;5,'Asta Live'!$J$4:$J$403,0)),"")</f>
        <v/>
      </c>
      <c r="E82" s="12">
        <f>IFERROR(INDEX('Asta Live'!$A$4:$A$403,MATCH(Impostazioni!$B$9&amp;"|"&amp;"A"&amp;"|"&amp;5,'Asta Live'!$J$4:$J$403,0)),"")</f>
        <v/>
      </c>
      <c r="F82" s="13">
        <f>IFERROR(INDEX('Asta Live'!$D$4:$D$403,MATCH(Impostazioni!$B$9&amp;"|"&amp;"A"&amp;"|"&amp;5,'Asta Live'!$J$4:$J$403,0)),"")</f>
        <v/>
      </c>
      <c r="G82" s="12">
        <f>IFERROR(INDEX('Asta Live'!$G$4:$G$403,MATCH(Impostazioni!$B$9&amp;"|"&amp;"A"&amp;"|"&amp;5,'Asta Live'!$J$4:$J$403,0)),"")</f>
        <v/>
      </c>
      <c r="I82" s="12">
        <f>IFERROR(INDEX('Asta Live'!$A$4:$A$403,MATCH(Impostazioni!$B$10&amp;"|"&amp;"A"&amp;"|"&amp;5,'Asta Live'!$J$4:$J$403,0)),"")</f>
        <v/>
      </c>
      <c r="J82" s="13">
        <f>IFERROR(INDEX('Asta Live'!$D$4:$D$403,MATCH(Impostazioni!$B$10&amp;"|"&amp;"A"&amp;"|"&amp;5,'Asta Live'!$J$4:$J$403,0)),"")</f>
        <v/>
      </c>
      <c r="K82" s="12">
        <f>IFERROR(INDEX('Asta Live'!$G$4:$G$403,MATCH(Impostazioni!$B$10&amp;"|"&amp;"A"&amp;"|"&amp;5,'Asta Live'!$J$4:$J$403,0)),"")</f>
        <v/>
      </c>
      <c r="M82" s="12">
        <f>IFERROR(INDEX('Asta Live'!$A$4:$A$403,MATCH(Impostazioni!$B$11&amp;"|"&amp;"A"&amp;"|"&amp;5,'Asta Live'!$J$4:$J$403,0)),"")</f>
        <v/>
      </c>
      <c r="N82" s="13">
        <f>IFERROR(INDEX('Asta Live'!$D$4:$D$403,MATCH(Impostazioni!$B$11&amp;"|"&amp;"A"&amp;"|"&amp;5,'Asta Live'!$J$4:$J$403,0)),"")</f>
        <v/>
      </c>
      <c r="O82" s="12">
        <f>IFERROR(INDEX('Asta Live'!$G$4:$G$403,MATCH(Impostazioni!$B$11&amp;"|"&amp;"A"&amp;"|"&amp;5,'Asta Live'!$J$4:$J$403,0)),"")</f>
        <v/>
      </c>
    </row>
    <row r="83">
      <c r="A83" s="12">
        <f>IFERROR(INDEX('Asta Live'!$A$4:$A$403,MATCH(Impostazioni!$B$8&amp;"|"&amp;"A"&amp;"|"&amp;6,'Asta Live'!$J$4:$J$403,0)),"")</f>
        <v/>
      </c>
      <c r="B83" s="13">
        <f>IFERROR(INDEX('Asta Live'!$D$4:$D$403,MATCH(Impostazioni!$B$8&amp;"|"&amp;"A"&amp;"|"&amp;6,'Asta Live'!$J$4:$J$403,0)),"")</f>
        <v/>
      </c>
      <c r="C83" s="12">
        <f>IFERROR(INDEX('Asta Live'!$G$4:$G$403,MATCH(Impostazioni!$B$8&amp;"|"&amp;"A"&amp;"|"&amp;6,'Asta Live'!$J$4:$J$403,0)),"")</f>
        <v/>
      </c>
      <c r="E83" s="12">
        <f>IFERROR(INDEX('Asta Live'!$A$4:$A$403,MATCH(Impostazioni!$B$9&amp;"|"&amp;"A"&amp;"|"&amp;6,'Asta Live'!$J$4:$J$403,0)),"")</f>
        <v/>
      </c>
      <c r="F83" s="13">
        <f>IFERROR(INDEX('Asta Live'!$D$4:$D$403,MATCH(Impostazioni!$B$9&amp;"|"&amp;"A"&amp;"|"&amp;6,'Asta Live'!$J$4:$J$403,0)),"")</f>
        <v/>
      </c>
      <c r="G83" s="12">
        <f>IFERROR(INDEX('Asta Live'!$G$4:$G$403,MATCH(Impostazioni!$B$9&amp;"|"&amp;"A"&amp;"|"&amp;6,'Asta Live'!$J$4:$J$403,0)),"")</f>
        <v/>
      </c>
      <c r="I83" s="12">
        <f>IFERROR(INDEX('Asta Live'!$A$4:$A$403,MATCH(Impostazioni!$B$10&amp;"|"&amp;"A"&amp;"|"&amp;6,'Asta Live'!$J$4:$J$403,0)),"")</f>
        <v/>
      </c>
      <c r="J83" s="13">
        <f>IFERROR(INDEX('Asta Live'!$D$4:$D$403,MATCH(Impostazioni!$B$10&amp;"|"&amp;"A"&amp;"|"&amp;6,'Asta Live'!$J$4:$J$403,0)),"")</f>
        <v/>
      </c>
      <c r="K83" s="12">
        <f>IFERROR(INDEX('Asta Live'!$G$4:$G$403,MATCH(Impostazioni!$B$10&amp;"|"&amp;"A"&amp;"|"&amp;6,'Asta Live'!$J$4:$J$403,0)),"")</f>
        <v/>
      </c>
      <c r="M83" s="12">
        <f>IFERROR(INDEX('Asta Live'!$A$4:$A$403,MATCH(Impostazioni!$B$11&amp;"|"&amp;"A"&amp;"|"&amp;6,'Asta Live'!$J$4:$J$403,0)),"")</f>
        <v/>
      </c>
      <c r="N83" s="13">
        <f>IFERROR(INDEX('Asta Live'!$D$4:$D$403,MATCH(Impostazioni!$B$11&amp;"|"&amp;"A"&amp;"|"&amp;6,'Asta Live'!$J$4:$J$403,0)),"")</f>
        <v/>
      </c>
      <c r="O83" s="12">
        <f>IFERROR(INDEX('Asta Live'!$G$4:$G$403,MATCH(Impostazioni!$B$11&amp;"|"&amp;"A"&amp;"|"&amp;6,'Asta Live'!$J$4:$J$403,0)),"")</f>
        <v/>
      </c>
    </row>
    <row r="84">
      <c r="A84" s="12">
        <f>IFERROR(INDEX('Asta Live'!$A$4:$A$403,MATCH(Impostazioni!$B$8&amp;"|"&amp;"A"&amp;"|"&amp;7,'Asta Live'!$J$4:$J$403,0)),"")</f>
        <v/>
      </c>
      <c r="B84" s="13">
        <f>IFERROR(INDEX('Asta Live'!$D$4:$D$403,MATCH(Impostazioni!$B$8&amp;"|"&amp;"A"&amp;"|"&amp;7,'Asta Live'!$J$4:$J$403,0)),"")</f>
        <v/>
      </c>
      <c r="C84" s="12">
        <f>IFERROR(INDEX('Asta Live'!$G$4:$G$403,MATCH(Impostazioni!$B$8&amp;"|"&amp;"A"&amp;"|"&amp;7,'Asta Live'!$J$4:$J$403,0)),"")</f>
        <v/>
      </c>
      <c r="E84" s="12">
        <f>IFERROR(INDEX('Asta Live'!$A$4:$A$403,MATCH(Impostazioni!$B$9&amp;"|"&amp;"A"&amp;"|"&amp;7,'Asta Live'!$J$4:$J$403,0)),"")</f>
        <v/>
      </c>
      <c r="F84" s="13">
        <f>IFERROR(INDEX('Asta Live'!$D$4:$D$403,MATCH(Impostazioni!$B$9&amp;"|"&amp;"A"&amp;"|"&amp;7,'Asta Live'!$J$4:$J$403,0)),"")</f>
        <v/>
      </c>
      <c r="G84" s="12">
        <f>IFERROR(INDEX('Asta Live'!$G$4:$G$403,MATCH(Impostazioni!$B$9&amp;"|"&amp;"A"&amp;"|"&amp;7,'Asta Live'!$J$4:$J$403,0)),"")</f>
        <v/>
      </c>
      <c r="I84" s="12">
        <f>IFERROR(INDEX('Asta Live'!$A$4:$A$403,MATCH(Impostazioni!$B$10&amp;"|"&amp;"A"&amp;"|"&amp;7,'Asta Live'!$J$4:$J$403,0)),"")</f>
        <v/>
      </c>
      <c r="J84" s="13">
        <f>IFERROR(INDEX('Asta Live'!$D$4:$D$403,MATCH(Impostazioni!$B$10&amp;"|"&amp;"A"&amp;"|"&amp;7,'Asta Live'!$J$4:$J$403,0)),"")</f>
        <v/>
      </c>
      <c r="K84" s="12">
        <f>IFERROR(INDEX('Asta Live'!$G$4:$G$403,MATCH(Impostazioni!$B$10&amp;"|"&amp;"A"&amp;"|"&amp;7,'Asta Live'!$J$4:$J$403,0)),"")</f>
        <v/>
      </c>
      <c r="M84" s="12">
        <f>IFERROR(INDEX('Asta Live'!$A$4:$A$403,MATCH(Impostazioni!$B$11&amp;"|"&amp;"A"&amp;"|"&amp;7,'Asta Live'!$J$4:$J$403,0)),"")</f>
        <v/>
      </c>
      <c r="N84" s="13">
        <f>IFERROR(INDEX('Asta Live'!$D$4:$D$403,MATCH(Impostazioni!$B$11&amp;"|"&amp;"A"&amp;"|"&amp;7,'Asta Live'!$J$4:$J$403,0)),"")</f>
        <v/>
      </c>
      <c r="O84" s="12">
        <f>IFERROR(INDEX('Asta Live'!$G$4:$G$403,MATCH(Impostazioni!$B$11&amp;"|"&amp;"A"&amp;"|"&amp;7,'Asta Live'!$J$4:$J$403,0)),"")</f>
        <v/>
      </c>
    </row>
    <row r="85">
      <c r="A85" s="12">
        <f>IFERROR(INDEX('Asta Live'!$A$4:$A$403,MATCH(Impostazioni!$B$8&amp;"|"&amp;"A"&amp;"|"&amp;8,'Asta Live'!$J$4:$J$403,0)),"")</f>
        <v/>
      </c>
      <c r="B85" s="13">
        <f>IFERROR(INDEX('Asta Live'!$D$4:$D$403,MATCH(Impostazioni!$B$8&amp;"|"&amp;"A"&amp;"|"&amp;8,'Asta Live'!$J$4:$J$403,0)),"")</f>
        <v/>
      </c>
      <c r="C85" s="12">
        <f>IFERROR(INDEX('Asta Live'!$G$4:$G$403,MATCH(Impostazioni!$B$8&amp;"|"&amp;"A"&amp;"|"&amp;8,'Asta Live'!$J$4:$J$403,0)),"")</f>
        <v/>
      </c>
      <c r="E85" s="12">
        <f>IFERROR(INDEX('Asta Live'!$A$4:$A$403,MATCH(Impostazioni!$B$9&amp;"|"&amp;"A"&amp;"|"&amp;8,'Asta Live'!$J$4:$J$403,0)),"")</f>
        <v/>
      </c>
      <c r="F85" s="13">
        <f>IFERROR(INDEX('Asta Live'!$D$4:$D$403,MATCH(Impostazioni!$B$9&amp;"|"&amp;"A"&amp;"|"&amp;8,'Asta Live'!$J$4:$J$403,0)),"")</f>
        <v/>
      </c>
      <c r="G85" s="12">
        <f>IFERROR(INDEX('Asta Live'!$G$4:$G$403,MATCH(Impostazioni!$B$9&amp;"|"&amp;"A"&amp;"|"&amp;8,'Asta Live'!$J$4:$J$403,0)),"")</f>
        <v/>
      </c>
      <c r="I85" s="12">
        <f>IFERROR(INDEX('Asta Live'!$A$4:$A$403,MATCH(Impostazioni!$B$10&amp;"|"&amp;"A"&amp;"|"&amp;8,'Asta Live'!$J$4:$J$403,0)),"")</f>
        <v/>
      </c>
      <c r="J85" s="13">
        <f>IFERROR(INDEX('Asta Live'!$D$4:$D$403,MATCH(Impostazioni!$B$10&amp;"|"&amp;"A"&amp;"|"&amp;8,'Asta Live'!$J$4:$J$403,0)),"")</f>
        <v/>
      </c>
      <c r="K85" s="12">
        <f>IFERROR(INDEX('Asta Live'!$G$4:$G$403,MATCH(Impostazioni!$B$10&amp;"|"&amp;"A"&amp;"|"&amp;8,'Asta Live'!$J$4:$J$403,0)),"")</f>
        <v/>
      </c>
      <c r="M85" s="12">
        <f>IFERROR(INDEX('Asta Live'!$A$4:$A$403,MATCH(Impostazioni!$B$11&amp;"|"&amp;"A"&amp;"|"&amp;8,'Asta Live'!$J$4:$J$403,0)),"")</f>
        <v/>
      </c>
      <c r="N85" s="13">
        <f>IFERROR(INDEX('Asta Live'!$D$4:$D$403,MATCH(Impostazioni!$B$11&amp;"|"&amp;"A"&amp;"|"&amp;8,'Asta Live'!$J$4:$J$403,0)),"")</f>
        <v/>
      </c>
      <c r="O85" s="12">
        <f>IFERROR(INDEX('Asta Live'!$G$4:$G$403,MATCH(Impostazioni!$B$11&amp;"|"&amp;"A"&amp;"|"&amp;8,'Asta Live'!$J$4:$J$403,0)),"")</f>
        <v/>
      </c>
    </row>
    <row r="86">
      <c r="A86" s="14" t="inlineStr">
        <is>
          <t>Totale Attaccanti</t>
        </is>
      </c>
      <c r="B86" s="15" t="n"/>
      <c r="C86" s="14">
        <f>SUM(C78:C85)</f>
        <v/>
      </c>
      <c r="E86" s="14" t="inlineStr">
        <is>
          <t>Totale Attaccanti</t>
        </is>
      </c>
      <c r="F86" s="15" t="n"/>
      <c r="G86" s="14">
        <f>SUM(G78:G85)</f>
        <v/>
      </c>
      <c r="I86" s="14" t="inlineStr">
        <is>
          <t>Totale Attaccanti</t>
        </is>
      </c>
      <c r="J86" s="15" t="n"/>
      <c r="K86" s="14">
        <f>SUM(K78:K85)</f>
        <v/>
      </c>
      <c r="M86" s="14" t="inlineStr">
        <is>
          <t>Totale Attaccanti</t>
        </is>
      </c>
      <c r="N86" s="15" t="n"/>
      <c r="O86" s="14">
        <f>SUM(O78:O85)</f>
        <v/>
      </c>
    </row>
    <row r="87">
      <c r="A87" s="19" t="inlineStr">
        <is>
          <t>TOTALE ROSA</t>
        </is>
      </c>
      <c r="B87" s="20" t="n"/>
      <c r="C87" s="19">
        <f>C53+C66+C76+C86</f>
        <v/>
      </c>
      <c r="E87" s="19" t="inlineStr">
        <is>
          <t>TOTALE ROSA</t>
        </is>
      </c>
      <c r="F87" s="20" t="n"/>
      <c r="G87" s="19">
        <f>G53+G66+G76+G86</f>
        <v/>
      </c>
      <c r="I87" s="19" t="inlineStr">
        <is>
          <t>TOTALE ROSA</t>
        </is>
      </c>
      <c r="J87" s="20" t="n"/>
      <c r="K87" s="19">
        <f>K53+K66+K76+K86</f>
        <v/>
      </c>
      <c r="M87" s="19" t="inlineStr">
        <is>
          <t>TOTALE ROSA</t>
        </is>
      </c>
      <c r="N87" s="20" t="n"/>
      <c r="O87" s="19">
        <f>O53+O66+O76+O86</f>
        <v/>
      </c>
    </row>
    <row r="88">
      <c r="A88" s="5" t="inlineStr">
        <is>
          <t>RESIDUO</t>
        </is>
      </c>
      <c r="C88" s="5">
        <f>Impostazioni!$B$2-(C53+C66+C76+C86)</f>
        <v/>
      </c>
      <c r="E88" s="5" t="inlineStr">
        <is>
          <t>RESIDUO</t>
        </is>
      </c>
      <c r="G88" s="5">
        <f>Impostazioni!$B$2-(G53+G66+G76+G86)</f>
        <v/>
      </c>
      <c r="I88" s="5" t="inlineStr">
        <is>
          <t>RESIDUO</t>
        </is>
      </c>
      <c r="K88" s="5">
        <f>Impostazioni!$B$2-(K53+K66+K76+K86)</f>
        <v/>
      </c>
      <c r="M88" s="5" t="inlineStr">
        <is>
          <t>RESIDUO</t>
        </is>
      </c>
      <c r="O88" s="5">
        <f>Impostazioni!$B$2-(O53+O66+O76+O86)</f>
        <v/>
      </c>
    </row>
  </sheetData>
  <mergeCells count="41">
    <mergeCell ref="I54:K54"/>
    <mergeCell ref="I32:K32"/>
    <mergeCell ref="M54:O54"/>
    <mergeCell ref="I22:K22"/>
    <mergeCell ref="M22:O22"/>
    <mergeCell ref="E9:G9"/>
    <mergeCell ref="A3:C3"/>
    <mergeCell ref="I3:K3"/>
    <mergeCell ref="E77:G77"/>
    <mergeCell ref="M77:O77"/>
    <mergeCell ref="E49:G49"/>
    <mergeCell ref="A32:C32"/>
    <mergeCell ref="I67:K67"/>
    <mergeCell ref="A22:C22"/>
    <mergeCell ref="M3:O3"/>
    <mergeCell ref="I48:K48"/>
    <mergeCell ref="I4:K4"/>
    <mergeCell ref="A4:C4"/>
    <mergeCell ref="E54:G54"/>
    <mergeCell ref="E32:G32"/>
    <mergeCell ref="M32:O32"/>
    <mergeCell ref="E22:G22"/>
    <mergeCell ref="A1:P1"/>
    <mergeCell ref="M4:O4"/>
    <mergeCell ref="I9:K9"/>
    <mergeCell ref="A9:C9"/>
    <mergeCell ref="A67:C67"/>
    <mergeCell ref="E3:G3"/>
    <mergeCell ref="A77:C77"/>
    <mergeCell ref="A48:C48"/>
    <mergeCell ref="I77:K77"/>
    <mergeCell ref="I49:K49"/>
    <mergeCell ref="A49:C49"/>
    <mergeCell ref="M49:O49"/>
    <mergeCell ref="E67:G67"/>
    <mergeCell ref="M9:O9"/>
    <mergeCell ref="M67:O67"/>
    <mergeCell ref="M48:O48"/>
    <mergeCell ref="E48:G48"/>
    <mergeCell ref="E4:G4"/>
    <mergeCell ref="A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2026-09-08T11:57:45Z</dcterms:created>
  <dcterms:modified xmlns:dcterms="http://purl.org/dc/terms/" xmlns:xsi="http://www.w3.org/2001/XMLSchema-instance" xsi:type="dcterms:W3CDTF">2026-09-08T11:57:45Z</dcterms:modified>
</cp:coreProperties>
</file>